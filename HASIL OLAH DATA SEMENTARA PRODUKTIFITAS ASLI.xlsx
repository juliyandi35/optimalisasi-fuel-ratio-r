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P75240225\"/>
    </mc:Choice>
  </mc:AlternateContent>
  <xr:revisionPtr revIDLastSave="0" documentId="13_ncr:1_{DC0CDAF8-6079-4268-90E4-BF6D0517AC32}" xr6:coauthVersionLast="47" xr6:coauthVersionMax="47" xr10:uidLastSave="{00000000-0000-0000-0000-000000000000}"/>
  <bookViews>
    <workbookView xWindow="-110" yWindow="-110" windowWidth="19420" windowHeight="10300" xr2:uid="{CF7C05B3-06FB-490F-89EB-550DE6408BC3}"/>
  </bookViews>
  <sheets>
    <sheet name="Produktifitas" sheetId="1" r:id="rId1"/>
    <sheet name="FR &amp; FBR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H3" i="2"/>
  <c r="G3" i="2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L39" i="1" l="1"/>
  <c r="M39" i="1"/>
  <c r="K41" i="1"/>
  <c r="J40" i="1"/>
  <c r="I39" i="1"/>
  <c r="I36" i="1"/>
  <c r="K38" i="1"/>
  <c r="J37" i="1"/>
  <c r="L36" i="1" l="1"/>
  <c r="M36" i="1" s="1"/>
  <c r="K35" i="1" l="1"/>
  <c r="J34" i="1"/>
  <c r="I33" i="1"/>
  <c r="K32" i="1"/>
  <c r="J31" i="1"/>
  <c r="I30" i="1"/>
  <c r="K29" i="1"/>
  <c r="J28" i="1"/>
  <c r="I27" i="1"/>
  <c r="K26" i="1"/>
  <c r="J25" i="1"/>
  <c r="I24" i="1"/>
  <c r="K23" i="1"/>
  <c r="J22" i="1"/>
  <c r="I21" i="1"/>
  <c r="K20" i="1"/>
  <c r="J19" i="1"/>
  <c r="I18" i="1"/>
  <c r="K17" i="1"/>
  <c r="J16" i="1"/>
  <c r="I15" i="1"/>
  <c r="K14" i="1"/>
  <c r="J13" i="1"/>
  <c r="I12" i="1"/>
  <c r="K11" i="1"/>
  <c r="J10" i="1"/>
  <c r="I9" i="1"/>
  <c r="K8" i="1"/>
  <c r="J7" i="1"/>
  <c r="I6" i="1"/>
  <c r="L15" i="1" l="1"/>
  <c r="L30" i="1"/>
  <c r="L9" i="1"/>
  <c r="L27" i="1"/>
  <c r="L33" i="1"/>
  <c r="M33" i="1" s="1"/>
  <c r="L6" i="1"/>
  <c r="L21" i="1"/>
  <c r="M21" i="1" s="1"/>
  <c r="L18" i="1"/>
  <c r="L24" i="1"/>
  <c r="M24" i="1" s="1"/>
  <c r="M9" i="1"/>
  <c r="M15" i="1"/>
  <c r="L12" i="1"/>
  <c r="M27" i="1"/>
  <c r="M30" i="1"/>
  <c r="M18" i="1" l="1"/>
  <c r="M42" i="1" s="1"/>
  <c r="L42" i="1"/>
  <c r="M12" i="1"/>
</calcChain>
</file>

<file path=xl/sharedStrings.xml><?xml version="1.0" encoding="utf-8"?>
<sst xmlns="http://schemas.openxmlformats.org/spreadsheetml/2006/main" count="43" uniqueCount="43">
  <si>
    <t>Alat Angkut</t>
  </si>
  <si>
    <t>Waktu (menit)</t>
  </si>
  <si>
    <t>Manuver Kosong</t>
  </si>
  <si>
    <t>Pemuatan</t>
  </si>
  <si>
    <t>Angkut bermuatan</t>
  </si>
  <si>
    <t>Mengambil Posisi Untuk Penumpahan</t>
  </si>
  <si>
    <t>Dumping</t>
  </si>
  <si>
    <t>Kembali (Kosong)</t>
  </si>
  <si>
    <t>ADT 431</t>
  </si>
  <si>
    <t>Rata-Rata (menit)</t>
  </si>
  <si>
    <t>ADT 433</t>
  </si>
  <si>
    <t>Pengamatan</t>
  </si>
  <si>
    <t>ADT 419</t>
  </si>
  <si>
    <t>ADT 421</t>
  </si>
  <si>
    <t>ADT 424</t>
  </si>
  <si>
    <t>ADT 425</t>
  </si>
  <si>
    <t>ADT 427</t>
  </si>
  <si>
    <t>ADT 420</t>
  </si>
  <si>
    <t>ADT 432</t>
  </si>
  <si>
    <t>NO</t>
  </si>
  <si>
    <t>Pengamatan Pekan Pertama (Bulan Februari)</t>
  </si>
  <si>
    <t>10/02/2025 - 15 Februari 2025</t>
  </si>
  <si>
    <t>ADT 429</t>
  </si>
  <si>
    <t>Produksi Aktual (bcm/jam)</t>
  </si>
  <si>
    <t>Waktu rata-rata cycle time</t>
  </si>
  <si>
    <t>FF</t>
  </si>
  <si>
    <t>Jenis Unit</t>
  </si>
  <si>
    <t>No. Lambung</t>
  </si>
  <si>
    <t>Produktivitas (BCM/jam)</t>
  </si>
  <si>
    <t>ADT VOLVO</t>
  </si>
  <si>
    <t>ADT 426</t>
  </si>
  <si>
    <t>ADT 416</t>
  </si>
  <si>
    <t>Fuel Ratio Alat Angkut</t>
  </si>
  <si>
    <t>Jarak HPL Puncak ke ILS/PLS (m)</t>
  </si>
  <si>
    <t>Start Hm</t>
  </si>
  <si>
    <t>End Hm</t>
  </si>
  <si>
    <t>Variance</t>
  </si>
  <si>
    <t>Produksi rata-rata perjam</t>
  </si>
  <si>
    <t>Kapasitas heaped Volvo A60H (m³)</t>
  </si>
  <si>
    <t>Pass excavator</t>
  </si>
  <si>
    <t>SF Material</t>
  </si>
  <si>
    <t>Produktifitas (bcm/jam)</t>
  </si>
  <si>
    <t>Rata-rata cycyle time (jam)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</si>
</sst>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5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5" borderId="0" xfId="0" applyNumberFormat="1" applyFont="1" applyFill="1"/>
    <xf numFmtId="2" fontId="1" fillId="8" borderId="0" xfId="0" applyNumberFormat="1" applyFont="1" applyFill="1"/>
    <xf numFmtId="0" fontId="1" fillId="8" borderId="0" xfId="0" applyFont="1" applyFill="1"/>
    <xf numFmtId="0" fontId="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38040</xdr:colOff>
      <xdr:row>0</xdr:row>
      <xdr:rowOff>0</xdr:rowOff>
    </xdr:from>
    <xdr:to>
      <xdr:col>28</xdr:col>
      <xdr:colOff>228128</xdr:colOff>
      <xdr:row>25</xdr:row>
      <xdr:rowOff>57714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B715E-FE6C-4643-8675-0AEAB8D6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538469" y="0"/>
          <a:ext cx="6449373" cy="4593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6D15-7965-4E91-A008-3E1C9CDE912A}">
  <dimension ref="A1:M45"/>
  <sheetViews>
    <sheetView tabSelected="1" topLeftCell="F2" zoomScale="70" zoomScaleNormal="70" workbookViewId="0">
      <selection activeCell="L6" sqref="L6:L8"/>
    </sheetView>
  </sheetViews>
  <sheetFormatPr defaultColWidth="8.90625" defaultRowHeight="14" x14ac:dyDescent="0.3"/>
  <cols>
    <col min="1" max="1" width="8.90625" style="2"/>
    <col min="2" max="2" width="11.6328125" style="2" bestFit="1" customWidth="1"/>
    <col min="3" max="3" width="10.54296875" style="2" customWidth="1"/>
    <col min="4" max="4" width="8.90625" style="2"/>
    <col min="5" max="5" width="12.54296875" style="2" customWidth="1"/>
    <col min="6" max="6" width="17.453125" style="2" customWidth="1"/>
    <col min="7" max="11" width="8.90625" style="2"/>
    <col min="12" max="12" width="9.6328125" style="2" customWidth="1"/>
    <col min="13" max="13" width="9.54296875" style="2" customWidth="1"/>
    <col min="14" max="16384" width="8.90625" style="2"/>
  </cols>
  <sheetData>
    <row r="1" spans="1:13" x14ac:dyDescent="0.3">
      <c r="A1" s="6"/>
      <c r="B1" s="6"/>
      <c r="C1" s="6"/>
      <c r="D1" s="19" t="s">
        <v>20</v>
      </c>
      <c r="E1" s="19"/>
      <c r="F1" s="19"/>
      <c r="G1" s="19"/>
      <c r="H1" s="19"/>
      <c r="I1" s="19"/>
      <c r="J1" s="19"/>
      <c r="K1" s="6"/>
      <c r="L1" s="6"/>
      <c r="M1" s="6"/>
    </row>
    <row r="2" spans="1:13" x14ac:dyDescent="0.3">
      <c r="A2" s="6"/>
      <c r="B2" s="6"/>
      <c r="C2" s="6"/>
      <c r="D2" s="19" t="s">
        <v>21</v>
      </c>
      <c r="E2" s="19"/>
      <c r="F2" s="19"/>
      <c r="G2" s="19"/>
      <c r="H2" s="19"/>
      <c r="I2" s="19"/>
      <c r="J2" s="19"/>
      <c r="K2" s="6"/>
      <c r="L2" s="6"/>
      <c r="M2" s="6"/>
    </row>
    <row r="3" spans="1:13" x14ac:dyDescent="0.3">
      <c r="A3" s="21" t="s">
        <v>19</v>
      </c>
      <c r="B3" s="21" t="s">
        <v>0</v>
      </c>
      <c r="C3" s="21" t="s">
        <v>1</v>
      </c>
      <c r="D3" s="21"/>
      <c r="E3" s="21"/>
      <c r="F3" s="21"/>
      <c r="G3" s="21"/>
      <c r="H3" s="21"/>
      <c r="I3" s="21" t="s">
        <v>11</v>
      </c>
      <c r="J3" s="21"/>
      <c r="K3" s="21"/>
      <c r="L3" s="1"/>
      <c r="M3" s="22" t="s">
        <v>23</v>
      </c>
    </row>
    <row r="4" spans="1:13" x14ac:dyDescent="0.3">
      <c r="A4" s="21"/>
      <c r="B4" s="21"/>
      <c r="C4" s="22" t="s">
        <v>2</v>
      </c>
      <c r="D4" s="21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1">
        <v>1</v>
      </c>
      <c r="J4" s="21">
        <v>2</v>
      </c>
      <c r="K4" s="21">
        <v>3</v>
      </c>
      <c r="L4" s="22" t="s">
        <v>9</v>
      </c>
      <c r="M4" s="22"/>
    </row>
    <row r="5" spans="1:13" x14ac:dyDescent="0.3">
      <c r="A5" s="21"/>
      <c r="B5" s="21"/>
      <c r="C5" s="22"/>
      <c r="D5" s="21"/>
      <c r="E5" s="22"/>
      <c r="F5" s="22"/>
      <c r="G5" s="22"/>
      <c r="H5" s="22"/>
      <c r="I5" s="21"/>
      <c r="J5" s="21"/>
      <c r="K5" s="21"/>
      <c r="L5" s="22"/>
      <c r="M5" s="22"/>
    </row>
    <row r="6" spans="1:13" x14ac:dyDescent="0.3">
      <c r="A6" s="23">
        <v>1</v>
      </c>
      <c r="B6" s="23" t="s">
        <v>8</v>
      </c>
      <c r="C6" s="3">
        <v>0.24</v>
      </c>
      <c r="D6" s="3">
        <v>2.37</v>
      </c>
      <c r="E6" s="3">
        <v>7.27</v>
      </c>
      <c r="F6" s="3">
        <v>0.3</v>
      </c>
      <c r="G6" s="3">
        <v>0.13</v>
      </c>
      <c r="H6" s="3">
        <v>6</v>
      </c>
      <c r="I6" s="3">
        <f>SUM(C6:H6)</f>
        <v>16.310000000000002</v>
      </c>
      <c r="J6" s="3"/>
      <c r="K6" s="3"/>
      <c r="L6" s="20">
        <f>(I6+J7+K8)/3</f>
        <v>15.680000000000001</v>
      </c>
      <c r="M6" s="20">
        <f>60/L6*45</f>
        <v>172.19387755102039</v>
      </c>
    </row>
    <row r="7" spans="1:13" x14ac:dyDescent="0.3">
      <c r="A7" s="23"/>
      <c r="B7" s="23"/>
      <c r="C7" s="3">
        <v>0.18</v>
      </c>
      <c r="D7" s="3">
        <v>2.0099999999999998</v>
      </c>
      <c r="E7" s="3">
        <v>6.01</v>
      </c>
      <c r="F7" s="3">
        <v>1.23</v>
      </c>
      <c r="G7" s="3">
        <v>0.24</v>
      </c>
      <c r="H7" s="3">
        <v>6.15</v>
      </c>
      <c r="I7" s="3"/>
      <c r="J7" s="3">
        <f>SUM(C7:H7)</f>
        <v>15.82</v>
      </c>
      <c r="K7" s="3"/>
      <c r="L7" s="20"/>
      <c r="M7" s="20"/>
    </row>
    <row r="8" spans="1:13" x14ac:dyDescent="0.3">
      <c r="A8" s="23"/>
      <c r="B8" s="23"/>
      <c r="C8" s="3">
        <v>0.2</v>
      </c>
      <c r="D8" s="3">
        <v>2.0299999999999998</v>
      </c>
      <c r="E8" s="3">
        <v>6.1</v>
      </c>
      <c r="F8" s="3">
        <v>0.2</v>
      </c>
      <c r="G8" s="3">
        <v>0.18</v>
      </c>
      <c r="H8" s="3">
        <v>6.2</v>
      </c>
      <c r="I8" s="3"/>
      <c r="J8" s="3"/>
      <c r="K8" s="3">
        <f>SUM(C8:H8)</f>
        <v>14.91</v>
      </c>
      <c r="L8" s="20"/>
      <c r="M8" s="20"/>
    </row>
    <row r="9" spans="1:13" x14ac:dyDescent="0.3">
      <c r="A9" s="23">
        <v>2</v>
      </c>
      <c r="B9" s="23" t="s">
        <v>10</v>
      </c>
      <c r="C9" s="3">
        <v>0.2</v>
      </c>
      <c r="D9" s="3">
        <v>1.47</v>
      </c>
      <c r="E9" s="3">
        <v>7.05</v>
      </c>
      <c r="F9" s="3">
        <v>0.25</v>
      </c>
      <c r="G9" s="3">
        <v>0.24</v>
      </c>
      <c r="H9" s="3">
        <v>7.11</v>
      </c>
      <c r="I9" s="3">
        <f>SUM(C9:H9)</f>
        <v>16.32</v>
      </c>
      <c r="J9" s="3"/>
      <c r="K9" s="3"/>
      <c r="L9" s="24">
        <f>(I9+J10+K11)/3</f>
        <v>15.9</v>
      </c>
      <c r="M9" s="20">
        <f>60/L9*45</f>
        <v>169.81132075471697</v>
      </c>
    </row>
    <row r="10" spans="1:13" x14ac:dyDescent="0.3">
      <c r="A10" s="23"/>
      <c r="B10" s="23"/>
      <c r="C10" s="3">
        <v>0.23</v>
      </c>
      <c r="D10" s="3">
        <v>2.23</v>
      </c>
      <c r="E10" s="3">
        <v>7.45</v>
      </c>
      <c r="F10" s="3">
        <v>0.27</v>
      </c>
      <c r="G10" s="3">
        <v>0.32</v>
      </c>
      <c r="H10" s="3">
        <v>5.3</v>
      </c>
      <c r="I10" s="3"/>
      <c r="J10" s="3">
        <f>SUM(C10:H10)</f>
        <v>15.8</v>
      </c>
      <c r="K10" s="3"/>
      <c r="L10" s="24"/>
      <c r="M10" s="20"/>
    </row>
    <row r="11" spans="1:13" x14ac:dyDescent="0.3">
      <c r="A11" s="23"/>
      <c r="B11" s="23"/>
      <c r="C11" s="3">
        <v>0.19</v>
      </c>
      <c r="D11" s="3">
        <v>1.53</v>
      </c>
      <c r="E11" s="3">
        <v>7.3</v>
      </c>
      <c r="F11" s="3">
        <v>0.28000000000000003</v>
      </c>
      <c r="G11" s="3">
        <v>0.28000000000000003</v>
      </c>
      <c r="H11" s="3">
        <v>6</v>
      </c>
      <c r="I11" s="3"/>
      <c r="J11" s="3"/>
      <c r="K11" s="3">
        <f>SUM(C11:H11)</f>
        <v>15.579999999999998</v>
      </c>
      <c r="L11" s="24"/>
      <c r="M11" s="20"/>
    </row>
    <row r="12" spans="1:13" x14ac:dyDescent="0.3">
      <c r="A12" s="23">
        <v>3</v>
      </c>
      <c r="B12" s="23" t="s">
        <v>12</v>
      </c>
      <c r="C12" s="3">
        <v>0.15</v>
      </c>
      <c r="D12" s="3">
        <v>2.29</v>
      </c>
      <c r="E12" s="3">
        <v>6.22</v>
      </c>
      <c r="F12" s="3">
        <v>0.25</v>
      </c>
      <c r="G12" s="3">
        <v>0.3</v>
      </c>
      <c r="H12" s="3">
        <v>5.0999999999999996</v>
      </c>
      <c r="I12" s="3">
        <f>SUM(C12:H12)</f>
        <v>14.31</v>
      </c>
      <c r="J12" s="3"/>
      <c r="K12" s="3"/>
      <c r="L12" s="20">
        <f>(I12+J13+K14)/3</f>
        <v>14.01</v>
      </c>
      <c r="M12" s="20">
        <f>60/L12*45</f>
        <v>192.71948608137046</v>
      </c>
    </row>
    <row r="13" spans="1:13" x14ac:dyDescent="0.3">
      <c r="A13" s="23"/>
      <c r="B13" s="23"/>
      <c r="C13" s="3">
        <v>0.16</v>
      </c>
      <c r="D13" s="3">
        <v>2.2999999999999998</v>
      </c>
      <c r="E13" s="3">
        <v>5.44</v>
      </c>
      <c r="F13" s="3">
        <v>0.21</v>
      </c>
      <c r="G13" s="3">
        <v>0.2</v>
      </c>
      <c r="H13" s="3">
        <v>5.22</v>
      </c>
      <c r="I13" s="3"/>
      <c r="J13" s="3">
        <f>SUM(C13:H13)</f>
        <v>13.530000000000001</v>
      </c>
      <c r="K13" s="3"/>
      <c r="L13" s="20"/>
      <c r="M13" s="20"/>
    </row>
    <row r="14" spans="1:13" x14ac:dyDescent="0.3">
      <c r="A14" s="23"/>
      <c r="B14" s="23"/>
      <c r="C14" s="3">
        <v>0.11</v>
      </c>
      <c r="D14" s="3">
        <v>2.38</v>
      </c>
      <c r="E14" s="3">
        <v>6</v>
      </c>
      <c r="F14" s="3">
        <v>0.2</v>
      </c>
      <c r="G14" s="3">
        <v>0.25</v>
      </c>
      <c r="H14" s="3">
        <v>5.25</v>
      </c>
      <c r="I14" s="3"/>
      <c r="J14" s="3"/>
      <c r="K14" s="3">
        <f>SUM(C14:H14)</f>
        <v>14.19</v>
      </c>
      <c r="L14" s="20"/>
      <c r="M14" s="20"/>
    </row>
    <row r="15" spans="1:13" x14ac:dyDescent="0.3">
      <c r="A15" s="23">
        <v>4</v>
      </c>
      <c r="B15" s="23" t="s">
        <v>13</v>
      </c>
      <c r="C15" s="3">
        <v>0.16</v>
      </c>
      <c r="D15" s="3">
        <v>2.0099999999999998</v>
      </c>
      <c r="E15" s="3">
        <v>5.26</v>
      </c>
      <c r="F15" s="3">
        <v>0.28000000000000003</v>
      </c>
      <c r="G15" s="3">
        <v>0.3</v>
      </c>
      <c r="H15" s="3">
        <v>5.0999999999999996</v>
      </c>
      <c r="I15" s="3">
        <f>SUM(C15:H15)</f>
        <v>13.11</v>
      </c>
      <c r="J15" s="3"/>
      <c r="K15" s="3"/>
      <c r="L15" s="20">
        <f>(I15+J16+K17)/3</f>
        <v>13.523333333333333</v>
      </c>
      <c r="M15" s="20">
        <f>60/L15*45</f>
        <v>199.65491742666993</v>
      </c>
    </row>
    <row r="16" spans="1:13" x14ac:dyDescent="0.3">
      <c r="A16" s="23"/>
      <c r="B16" s="23"/>
      <c r="C16" s="3">
        <v>0.16</v>
      </c>
      <c r="D16" s="3">
        <v>2.15</v>
      </c>
      <c r="E16" s="3">
        <v>5.07</v>
      </c>
      <c r="F16" s="3">
        <v>0.43</v>
      </c>
      <c r="G16" s="3">
        <v>0.33</v>
      </c>
      <c r="H16" s="3">
        <v>5</v>
      </c>
      <c r="I16" s="3"/>
      <c r="J16" s="3">
        <f>SUM(C16:H16)</f>
        <v>13.14</v>
      </c>
      <c r="K16" s="3"/>
      <c r="L16" s="20"/>
      <c r="M16" s="20"/>
    </row>
    <row r="17" spans="1:13" x14ac:dyDescent="0.3">
      <c r="A17" s="23"/>
      <c r="B17" s="23"/>
      <c r="C17" s="3">
        <v>0.33</v>
      </c>
      <c r="D17" s="3">
        <v>2.2400000000000002</v>
      </c>
      <c r="E17" s="3">
        <v>6.2</v>
      </c>
      <c r="F17" s="3">
        <v>0.15</v>
      </c>
      <c r="G17" s="3">
        <v>0.35</v>
      </c>
      <c r="H17" s="3">
        <v>5.05</v>
      </c>
      <c r="I17" s="3"/>
      <c r="J17" s="3"/>
      <c r="K17" s="3">
        <f>SUM(C17:H17)</f>
        <v>14.32</v>
      </c>
      <c r="L17" s="20"/>
      <c r="M17" s="20"/>
    </row>
    <row r="18" spans="1:13" x14ac:dyDescent="0.3">
      <c r="A18" s="23">
        <v>5</v>
      </c>
      <c r="B18" s="23" t="s">
        <v>14</v>
      </c>
      <c r="C18" s="3">
        <v>0.12</v>
      </c>
      <c r="D18" s="3">
        <v>2.1800000000000002</v>
      </c>
      <c r="E18" s="3">
        <v>6.55</v>
      </c>
      <c r="F18" s="3">
        <v>1.19</v>
      </c>
      <c r="G18" s="3">
        <v>0.28999999999999998</v>
      </c>
      <c r="H18" s="3">
        <v>5</v>
      </c>
      <c r="I18" s="3">
        <f>SUM(C18:H18)</f>
        <v>15.329999999999998</v>
      </c>
      <c r="J18" s="3"/>
      <c r="K18" s="3"/>
      <c r="L18" s="20">
        <f>(I18+J19+K20)/3</f>
        <v>14.593333333333334</v>
      </c>
      <c r="M18" s="20">
        <f>60/L18*45</f>
        <v>185.01598903608954</v>
      </c>
    </row>
    <row r="19" spans="1:13" x14ac:dyDescent="0.3">
      <c r="A19" s="23"/>
      <c r="B19" s="23"/>
      <c r="C19" s="3">
        <v>0.3</v>
      </c>
      <c r="D19" s="3">
        <v>2.15</v>
      </c>
      <c r="E19" s="3">
        <v>6.3</v>
      </c>
      <c r="F19" s="3">
        <v>0.45</v>
      </c>
      <c r="G19" s="3">
        <v>0.32</v>
      </c>
      <c r="H19" s="3">
        <v>4.5599999999999996</v>
      </c>
      <c r="I19" s="3"/>
      <c r="J19" s="3">
        <f>SUM(C19:H19)</f>
        <v>14.079999999999998</v>
      </c>
      <c r="K19" s="3"/>
      <c r="L19" s="20"/>
      <c r="M19" s="20"/>
    </row>
    <row r="20" spans="1:13" x14ac:dyDescent="0.3">
      <c r="A20" s="23"/>
      <c r="B20" s="23"/>
      <c r="C20" s="3">
        <v>0.23</v>
      </c>
      <c r="D20" s="3">
        <v>2.0299999999999998</v>
      </c>
      <c r="E20" s="3">
        <v>6</v>
      </c>
      <c r="F20" s="3">
        <v>0.52</v>
      </c>
      <c r="G20" s="3">
        <v>0.31</v>
      </c>
      <c r="H20" s="3">
        <v>5.28</v>
      </c>
      <c r="I20" s="3"/>
      <c r="J20" s="3"/>
      <c r="K20" s="3">
        <f>SUM(C20:H20)</f>
        <v>14.370000000000001</v>
      </c>
      <c r="L20" s="20"/>
      <c r="M20" s="20"/>
    </row>
    <row r="21" spans="1:13" x14ac:dyDescent="0.3">
      <c r="A21" s="23">
        <v>6</v>
      </c>
      <c r="B21" s="23" t="s">
        <v>22</v>
      </c>
      <c r="C21" s="3">
        <v>0.2</v>
      </c>
      <c r="D21" s="3">
        <v>2</v>
      </c>
      <c r="E21" s="3">
        <v>5.31</v>
      </c>
      <c r="F21" s="3">
        <v>0.18</v>
      </c>
      <c r="G21" s="3">
        <v>0.32</v>
      </c>
      <c r="H21" s="3">
        <v>5.43</v>
      </c>
      <c r="I21" s="3">
        <f>SUM(C21:H21)</f>
        <v>13.44</v>
      </c>
      <c r="J21" s="3"/>
      <c r="K21" s="3"/>
      <c r="L21" s="20">
        <f>(I21+J22+K23)/3</f>
        <v>13.87</v>
      </c>
      <c r="M21" s="20">
        <f>60/L21*45</f>
        <v>194.66474405191062</v>
      </c>
    </row>
    <row r="22" spans="1:13" x14ac:dyDescent="0.3">
      <c r="A22" s="23"/>
      <c r="B22" s="23"/>
      <c r="C22" s="3">
        <v>0.2</v>
      </c>
      <c r="D22" s="3">
        <v>2.0699999999999998</v>
      </c>
      <c r="E22" s="3">
        <v>5.31</v>
      </c>
      <c r="F22" s="3">
        <v>0.18</v>
      </c>
      <c r="G22" s="3">
        <v>0.32</v>
      </c>
      <c r="H22" s="3">
        <v>5.43</v>
      </c>
      <c r="I22" s="3"/>
      <c r="J22" s="3">
        <f>SUM(C22:H22)</f>
        <v>13.51</v>
      </c>
      <c r="K22" s="3"/>
      <c r="L22" s="20"/>
      <c r="M22" s="20"/>
    </row>
    <row r="23" spans="1:13" x14ac:dyDescent="0.3">
      <c r="A23" s="23"/>
      <c r="B23" s="23"/>
      <c r="C23" s="3">
        <v>0.15</v>
      </c>
      <c r="D23" s="3">
        <v>2.02</v>
      </c>
      <c r="E23" s="3">
        <v>6.42</v>
      </c>
      <c r="F23" s="3">
        <v>0.31</v>
      </c>
      <c r="G23" s="3">
        <v>0.37</v>
      </c>
      <c r="H23" s="3">
        <v>5.39</v>
      </c>
      <c r="I23" s="3"/>
      <c r="J23" s="3"/>
      <c r="K23" s="3">
        <f>SUM(C23:H23)</f>
        <v>14.66</v>
      </c>
      <c r="L23" s="20"/>
      <c r="M23" s="20"/>
    </row>
    <row r="24" spans="1:13" x14ac:dyDescent="0.3">
      <c r="A24" s="23">
        <v>7</v>
      </c>
      <c r="B24" s="23" t="s">
        <v>15</v>
      </c>
      <c r="C24" s="3">
        <v>0.13</v>
      </c>
      <c r="D24" s="3">
        <v>2.3199999999999998</v>
      </c>
      <c r="E24" s="3">
        <v>7.02</v>
      </c>
      <c r="F24" s="3">
        <v>0.3</v>
      </c>
      <c r="G24" s="3">
        <v>0.31</v>
      </c>
      <c r="H24" s="3">
        <v>5.07</v>
      </c>
      <c r="I24" s="3">
        <f>SUM(C24:H24)</f>
        <v>15.15</v>
      </c>
      <c r="J24" s="3"/>
      <c r="K24" s="3"/>
      <c r="L24" s="20">
        <f>(I24+J25+K26)/3</f>
        <v>13.399999999999999</v>
      </c>
      <c r="M24" s="20">
        <f>60/L24*45</f>
        <v>201.49253731343285</v>
      </c>
    </row>
    <row r="25" spans="1:13" x14ac:dyDescent="0.3">
      <c r="A25" s="23"/>
      <c r="B25" s="23"/>
      <c r="C25" s="3">
        <v>0.19</v>
      </c>
      <c r="D25" s="3">
        <v>2.38</v>
      </c>
      <c r="E25" s="3">
        <v>5.36</v>
      </c>
      <c r="F25" s="3">
        <v>0.27</v>
      </c>
      <c r="G25" s="3">
        <v>0.28999999999999998</v>
      </c>
      <c r="H25" s="3">
        <v>4.3</v>
      </c>
      <c r="I25" s="3"/>
      <c r="J25" s="3">
        <f>SUM(C25:H25)</f>
        <v>12.79</v>
      </c>
      <c r="K25" s="3"/>
      <c r="L25" s="20"/>
      <c r="M25" s="20"/>
    </row>
    <row r="26" spans="1:13" x14ac:dyDescent="0.3">
      <c r="A26" s="23"/>
      <c r="B26" s="23"/>
      <c r="C26" s="3">
        <v>0.2</v>
      </c>
      <c r="D26" s="3">
        <v>2</v>
      </c>
      <c r="E26" s="3">
        <v>5.0199999999999996</v>
      </c>
      <c r="F26" s="3">
        <v>0.35</v>
      </c>
      <c r="G26" s="3">
        <v>0.24</v>
      </c>
      <c r="H26" s="3">
        <v>4.45</v>
      </c>
      <c r="I26" s="3"/>
      <c r="J26" s="3"/>
      <c r="K26" s="3">
        <f>SUM(C26:H26)</f>
        <v>12.26</v>
      </c>
      <c r="L26" s="20"/>
      <c r="M26" s="20"/>
    </row>
    <row r="27" spans="1:13" x14ac:dyDescent="0.3">
      <c r="A27" s="23">
        <v>8</v>
      </c>
      <c r="B27" s="23" t="s">
        <v>16</v>
      </c>
      <c r="C27" s="3">
        <v>0.18</v>
      </c>
      <c r="D27" s="3">
        <v>2.2200000000000002</v>
      </c>
      <c r="E27" s="3">
        <v>6</v>
      </c>
      <c r="F27" s="3">
        <v>0.24</v>
      </c>
      <c r="G27" s="3">
        <v>0.32</v>
      </c>
      <c r="H27" s="3">
        <v>5.52</v>
      </c>
      <c r="I27" s="3">
        <f>SUM(C27:H27)</f>
        <v>14.48</v>
      </c>
      <c r="J27" s="3"/>
      <c r="K27" s="3"/>
      <c r="L27" s="20">
        <f>(I27+J28+K29)/3</f>
        <v>14.01</v>
      </c>
      <c r="M27" s="20">
        <f>60/L27*45</f>
        <v>192.71948608137046</v>
      </c>
    </row>
    <row r="28" spans="1:13" x14ac:dyDescent="0.3">
      <c r="A28" s="23"/>
      <c r="B28" s="23"/>
      <c r="C28" s="3">
        <v>0.17</v>
      </c>
      <c r="D28" s="3">
        <v>2</v>
      </c>
      <c r="E28" s="3">
        <v>5.38</v>
      </c>
      <c r="F28" s="3">
        <v>0.25</v>
      </c>
      <c r="G28" s="3">
        <v>0.39</v>
      </c>
      <c r="H28" s="3">
        <v>5.3</v>
      </c>
      <c r="I28" s="3"/>
      <c r="J28" s="3">
        <f>SUM(C28:H28)</f>
        <v>13.489999999999998</v>
      </c>
      <c r="K28" s="3"/>
      <c r="L28" s="20"/>
      <c r="M28" s="20"/>
    </row>
    <row r="29" spans="1:13" x14ac:dyDescent="0.3">
      <c r="A29" s="23"/>
      <c r="B29" s="23"/>
      <c r="C29" s="3">
        <v>0.2</v>
      </c>
      <c r="D29" s="3">
        <v>2.6</v>
      </c>
      <c r="E29" s="3">
        <v>5.2</v>
      </c>
      <c r="F29" s="3">
        <v>0.28000000000000003</v>
      </c>
      <c r="G29" s="3">
        <v>0.34</v>
      </c>
      <c r="H29" s="3">
        <v>5.44</v>
      </c>
      <c r="I29" s="3"/>
      <c r="J29" s="3"/>
      <c r="K29" s="3">
        <f>SUM(C29:H29)</f>
        <v>14.059999999999999</v>
      </c>
      <c r="L29" s="20"/>
      <c r="M29" s="20"/>
    </row>
    <row r="30" spans="1:13" x14ac:dyDescent="0.3">
      <c r="A30" s="23">
        <v>9</v>
      </c>
      <c r="B30" s="23" t="s">
        <v>17</v>
      </c>
      <c r="C30" s="3">
        <v>0.2</v>
      </c>
      <c r="D30" s="3">
        <v>1.54</v>
      </c>
      <c r="E30" s="3">
        <v>5</v>
      </c>
      <c r="F30" s="3">
        <v>0.45</v>
      </c>
      <c r="G30" s="3">
        <v>0.3</v>
      </c>
      <c r="H30" s="3">
        <v>5</v>
      </c>
      <c r="I30" s="3">
        <f>SUM(C30:H30)</f>
        <v>12.49</v>
      </c>
      <c r="J30" s="3"/>
      <c r="K30" s="3"/>
      <c r="L30" s="20">
        <f>(I30+J31+K32)/3</f>
        <v>13.339999999999998</v>
      </c>
      <c r="M30" s="20">
        <f>60/L30*45</f>
        <v>202.39880059970019</v>
      </c>
    </row>
    <row r="31" spans="1:13" x14ac:dyDescent="0.3">
      <c r="A31" s="23"/>
      <c r="B31" s="23"/>
      <c r="C31" s="3">
        <v>0.2</v>
      </c>
      <c r="D31" s="3">
        <v>2</v>
      </c>
      <c r="E31" s="3">
        <v>5</v>
      </c>
      <c r="F31" s="3">
        <v>0.28000000000000003</v>
      </c>
      <c r="G31" s="3">
        <v>0.28999999999999998</v>
      </c>
      <c r="H31" s="3">
        <v>5.25</v>
      </c>
      <c r="I31" s="3"/>
      <c r="J31" s="3">
        <f>SUM(C31:H31)</f>
        <v>13.02</v>
      </c>
      <c r="K31" s="3"/>
      <c r="L31" s="20"/>
      <c r="M31" s="20"/>
    </row>
    <row r="32" spans="1:13" x14ac:dyDescent="0.3">
      <c r="A32" s="23"/>
      <c r="B32" s="23"/>
      <c r="C32" s="3">
        <v>0.15</v>
      </c>
      <c r="D32" s="3">
        <v>2.34</v>
      </c>
      <c r="E32" s="3">
        <v>6</v>
      </c>
      <c r="F32" s="3">
        <v>0.25</v>
      </c>
      <c r="G32" s="3">
        <v>0.28000000000000003</v>
      </c>
      <c r="H32" s="3">
        <v>5.49</v>
      </c>
      <c r="I32" s="3"/>
      <c r="J32" s="3"/>
      <c r="K32" s="3">
        <f>SUM(C32:H32)</f>
        <v>14.51</v>
      </c>
      <c r="L32" s="20"/>
      <c r="M32" s="20"/>
    </row>
    <row r="33" spans="1:13" x14ac:dyDescent="0.3">
      <c r="A33" s="23">
        <v>10</v>
      </c>
      <c r="B33" s="23" t="s">
        <v>18</v>
      </c>
      <c r="C33" s="3">
        <v>0.18</v>
      </c>
      <c r="D33" s="3">
        <v>2.0699999999999998</v>
      </c>
      <c r="E33" s="3">
        <v>5.13</v>
      </c>
      <c r="F33" s="3">
        <v>0.2</v>
      </c>
      <c r="G33" s="3">
        <v>0.27</v>
      </c>
      <c r="H33" s="3">
        <v>5.45</v>
      </c>
      <c r="I33" s="3">
        <f>SUM(C33:H33)</f>
        <v>13.3</v>
      </c>
      <c r="J33" s="3"/>
      <c r="K33" s="3"/>
      <c r="L33" s="25">
        <f>(I33+J34+K35)/3</f>
        <v>13.333333333333334</v>
      </c>
      <c r="M33" s="20">
        <f>60/L33*45</f>
        <v>202.5</v>
      </c>
    </row>
    <row r="34" spans="1:13" x14ac:dyDescent="0.3">
      <c r="A34" s="23"/>
      <c r="B34" s="23"/>
      <c r="C34" s="3">
        <v>0.15</v>
      </c>
      <c r="D34" s="3">
        <v>2.15</v>
      </c>
      <c r="E34" s="3">
        <v>5.46</v>
      </c>
      <c r="F34" s="3">
        <v>0.3</v>
      </c>
      <c r="G34" s="3">
        <v>0.32</v>
      </c>
      <c r="H34" s="3">
        <v>5.2</v>
      </c>
      <c r="I34" s="3"/>
      <c r="J34" s="3">
        <f>SUM(C34:H34)</f>
        <v>13.580000000000002</v>
      </c>
      <c r="K34" s="3"/>
      <c r="L34" s="25"/>
      <c r="M34" s="20"/>
    </row>
    <row r="35" spans="1:13" x14ac:dyDescent="0.3">
      <c r="A35" s="23"/>
      <c r="B35" s="23"/>
      <c r="C35" s="3">
        <v>0.2</v>
      </c>
      <c r="D35" s="3">
        <v>2</v>
      </c>
      <c r="E35" s="3">
        <v>5.14</v>
      </c>
      <c r="F35" s="3">
        <v>0.2</v>
      </c>
      <c r="G35" s="3">
        <v>0.26</v>
      </c>
      <c r="H35" s="3">
        <v>5.32</v>
      </c>
      <c r="I35" s="3"/>
      <c r="J35" s="3"/>
      <c r="K35" s="3">
        <f>SUM(C35:H35)</f>
        <v>13.120000000000001</v>
      </c>
      <c r="L35" s="25"/>
      <c r="M35" s="20"/>
    </row>
    <row r="36" spans="1:13" x14ac:dyDescent="0.3">
      <c r="A36" s="23">
        <v>11</v>
      </c>
      <c r="B36" s="23" t="s">
        <v>30</v>
      </c>
      <c r="C36" s="3">
        <v>0.22</v>
      </c>
      <c r="D36" s="3">
        <v>2.1</v>
      </c>
      <c r="E36" s="3">
        <v>6</v>
      </c>
      <c r="F36" s="3">
        <v>0.25</v>
      </c>
      <c r="G36" s="3">
        <v>0.3</v>
      </c>
      <c r="H36" s="3">
        <v>5.55</v>
      </c>
      <c r="I36" s="3">
        <f>SUM(C36:H36)</f>
        <v>14.420000000000002</v>
      </c>
      <c r="J36" s="3"/>
      <c r="K36" s="3"/>
      <c r="L36" s="20">
        <f>(I36+J37+K38)/3</f>
        <v>13.780000000000001</v>
      </c>
      <c r="M36" s="20">
        <f>60/L36*45</f>
        <v>195.93613933236574</v>
      </c>
    </row>
    <row r="37" spans="1:13" x14ac:dyDescent="0.3">
      <c r="A37" s="23"/>
      <c r="B37" s="23"/>
      <c r="C37" s="3">
        <v>0.16</v>
      </c>
      <c r="D37" s="3">
        <v>2.15</v>
      </c>
      <c r="E37" s="3">
        <v>5.5</v>
      </c>
      <c r="F37" s="3">
        <v>0.26</v>
      </c>
      <c r="G37" s="3">
        <v>0.32</v>
      </c>
      <c r="H37" s="3">
        <v>5.5</v>
      </c>
      <c r="I37" s="3"/>
      <c r="J37" s="3">
        <f>SUM(C37:H37)</f>
        <v>13.89</v>
      </c>
      <c r="K37" s="3"/>
      <c r="L37" s="20"/>
      <c r="M37" s="20"/>
    </row>
    <row r="38" spans="1:13" x14ac:dyDescent="0.3">
      <c r="A38" s="23"/>
      <c r="B38" s="23"/>
      <c r="C38" s="3">
        <v>0.18</v>
      </c>
      <c r="D38" s="3">
        <v>2</v>
      </c>
      <c r="E38" s="3">
        <v>5.2</v>
      </c>
      <c r="F38" s="3">
        <v>0.28999999999999998</v>
      </c>
      <c r="G38" s="3">
        <v>0.36</v>
      </c>
      <c r="H38" s="3">
        <v>5</v>
      </c>
      <c r="I38" s="3"/>
      <c r="J38" s="3"/>
      <c r="K38" s="3">
        <f>SUM(C38:H38)</f>
        <v>13.030000000000001</v>
      </c>
      <c r="L38" s="20"/>
      <c r="M38" s="20"/>
    </row>
    <row r="39" spans="1:13" x14ac:dyDescent="0.3">
      <c r="A39" s="23">
        <v>12</v>
      </c>
      <c r="B39" s="23" t="s">
        <v>31</v>
      </c>
      <c r="C39" s="3">
        <v>0.25</v>
      </c>
      <c r="D39" s="3">
        <v>2.14</v>
      </c>
      <c r="E39" s="3">
        <v>6</v>
      </c>
      <c r="F39" s="3">
        <v>0.2</v>
      </c>
      <c r="G39" s="3">
        <v>0.26</v>
      </c>
      <c r="H39" s="3">
        <v>4.5599999999999996</v>
      </c>
      <c r="I39" s="3">
        <f>SUM(C39:H39)</f>
        <v>13.41</v>
      </c>
      <c r="J39" s="3"/>
      <c r="K39" s="3"/>
      <c r="L39" s="20">
        <f>(I39+J40+K41)/3</f>
        <v>13.600000000000001</v>
      </c>
      <c r="M39" s="20">
        <f>60/L39*45</f>
        <v>198.52941176470586</v>
      </c>
    </row>
    <row r="40" spans="1:13" x14ac:dyDescent="0.3">
      <c r="A40" s="23"/>
      <c r="B40" s="23"/>
      <c r="C40" s="3">
        <v>0.2</v>
      </c>
      <c r="D40" s="3">
        <v>2.16</v>
      </c>
      <c r="E40" s="3">
        <v>5.7</v>
      </c>
      <c r="F40" s="3">
        <v>0.25</v>
      </c>
      <c r="G40" s="3">
        <v>0.23</v>
      </c>
      <c r="H40" s="3">
        <v>5.2</v>
      </c>
      <c r="I40" s="3"/>
      <c r="J40" s="3">
        <f>SUM(C40:H40)</f>
        <v>13.740000000000002</v>
      </c>
      <c r="K40" s="3"/>
      <c r="L40" s="20"/>
      <c r="M40" s="20"/>
    </row>
    <row r="41" spans="1:13" x14ac:dyDescent="0.3">
      <c r="A41" s="23"/>
      <c r="B41" s="23"/>
      <c r="C41" s="3">
        <v>0.18</v>
      </c>
      <c r="D41" s="3">
        <v>2.2000000000000002</v>
      </c>
      <c r="E41" s="3">
        <v>5.6</v>
      </c>
      <c r="F41" s="3">
        <v>0.27</v>
      </c>
      <c r="G41" s="3">
        <v>0.3</v>
      </c>
      <c r="H41" s="3">
        <v>5.0999999999999996</v>
      </c>
      <c r="I41" s="3"/>
      <c r="J41" s="3"/>
      <c r="K41" s="3">
        <f>SUM(C41:H41)</f>
        <v>13.65</v>
      </c>
      <c r="L41" s="20"/>
      <c r="M41" s="20"/>
    </row>
    <row r="42" spans="1:13" x14ac:dyDescent="0.3">
      <c r="L42" s="11">
        <f>SUM(L6:L41)/12</f>
        <v>14.086666666666668</v>
      </c>
      <c r="M42" s="12">
        <f>SUM(M6:M41)/12</f>
        <v>192.30305916611277</v>
      </c>
    </row>
    <row r="44" spans="1:13" ht="42" x14ac:dyDescent="0.3">
      <c r="A44" s="4"/>
      <c r="B44" s="5" t="s">
        <v>24</v>
      </c>
      <c r="C44" s="8" t="s">
        <v>25</v>
      </c>
      <c r="D44" s="9">
        <v>0.97</v>
      </c>
    </row>
    <row r="45" spans="1:13" ht="28" x14ac:dyDescent="0.3">
      <c r="A45" s="13"/>
      <c r="B45" s="5" t="s">
        <v>37</v>
      </c>
    </row>
  </sheetData>
  <mergeCells count="65">
    <mergeCell ref="A39:A41"/>
    <mergeCell ref="B39:B41"/>
    <mergeCell ref="L39:L41"/>
    <mergeCell ref="M39:M41"/>
    <mergeCell ref="A36:A38"/>
    <mergeCell ref="B36:B38"/>
    <mergeCell ref="L36:L38"/>
    <mergeCell ref="M36:M38"/>
    <mergeCell ref="A27:A29"/>
    <mergeCell ref="A30:A32"/>
    <mergeCell ref="A33:A35"/>
    <mergeCell ref="B12:B14"/>
    <mergeCell ref="L12:L14"/>
    <mergeCell ref="B15:B17"/>
    <mergeCell ref="L15:L17"/>
    <mergeCell ref="B30:B32"/>
    <mergeCell ref="L30:L32"/>
    <mergeCell ref="B33:B35"/>
    <mergeCell ref="L33:L35"/>
    <mergeCell ref="B27:B29"/>
    <mergeCell ref="L27:L29"/>
    <mergeCell ref="A18:A20"/>
    <mergeCell ref="B21:B23"/>
    <mergeCell ref="L21:L23"/>
    <mergeCell ref="B6:B8"/>
    <mergeCell ref="B9:B11"/>
    <mergeCell ref="L9:L11"/>
    <mergeCell ref="B3:B5"/>
    <mergeCell ref="I4:I5"/>
    <mergeCell ref="J4:J5"/>
    <mergeCell ref="K4:K5"/>
    <mergeCell ref="C4:C5"/>
    <mergeCell ref="D4:D5"/>
    <mergeCell ref="E4:E5"/>
    <mergeCell ref="F4:F5"/>
    <mergeCell ref="G4:G5"/>
    <mergeCell ref="A3:A5"/>
    <mergeCell ref="A6:A8"/>
    <mergeCell ref="A9:A11"/>
    <mergeCell ref="A12:A14"/>
    <mergeCell ref="A15:A17"/>
    <mergeCell ref="B24:B26"/>
    <mergeCell ref="L24:L26"/>
    <mergeCell ref="B18:B20"/>
    <mergeCell ref="L18:L20"/>
    <mergeCell ref="A21:A23"/>
    <mergeCell ref="A24:A26"/>
    <mergeCell ref="M30:M32"/>
    <mergeCell ref="M33:M35"/>
    <mergeCell ref="M6:M8"/>
    <mergeCell ref="M9:M11"/>
    <mergeCell ref="M12:M14"/>
    <mergeCell ref="M15:M17"/>
    <mergeCell ref="M18:M20"/>
    <mergeCell ref="D1:J1"/>
    <mergeCell ref="D2:J2"/>
    <mergeCell ref="M21:M23"/>
    <mergeCell ref="M24:M26"/>
    <mergeCell ref="M27:M29"/>
    <mergeCell ref="I3:K3"/>
    <mergeCell ref="H4:H5"/>
    <mergeCell ref="C3:H3"/>
    <mergeCell ref="M3:M5"/>
    <mergeCell ref="L4:L5"/>
    <mergeCell ref="L6:L8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9459-8875-458C-A3C8-4DBAD2A18D37}">
  <dimension ref="A1:J47"/>
  <sheetViews>
    <sheetView zoomScale="114" zoomScaleNormal="70" workbookViewId="0">
      <selection activeCell="I3" sqref="I3"/>
    </sheetView>
  </sheetViews>
  <sheetFormatPr defaultColWidth="8.90625" defaultRowHeight="14.5" x14ac:dyDescent="0.35"/>
  <cols>
    <col min="1" max="1" width="10.54296875" style="10" bestFit="1" customWidth="1"/>
    <col min="2" max="2" width="8.90625" style="10"/>
    <col min="3" max="3" width="12" style="10" customWidth="1"/>
    <col min="4" max="8" width="11.453125" style="10" customWidth="1"/>
    <col min="9" max="9" width="12.1796875" style="10" bestFit="1" customWidth="1"/>
    <col min="10" max="10" width="11.54296875" style="10" customWidth="1"/>
    <col min="11" max="16384" width="8.90625" style="10"/>
  </cols>
  <sheetData>
    <row r="1" spans="1:10" x14ac:dyDescent="0.35">
      <c r="A1" s="26" t="s">
        <v>32</v>
      </c>
      <c r="B1" s="26"/>
      <c r="C1" s="26"/>
      <c r="D1" s="26"/>
      <c r="E1" s="26"/>
      <c r="F1" s="26"/>
      <c r="G1" s="26"/>
      <c r="H1" s="26"/>
      <c r="I1" s="18"/>
    </row>
    <row r="2" spans="1:10" ht="42" x14ac:dyDescent="0.35">
      <c r="A2" s="3" t="s">
        <v>26</v>
      </c>
      <c r="B2" s="17" t="s">
        <v>27</v>
      </c>
      <c r="C2" s="17" t="s">
        <v>28</v>
      </c>
      <c r="D2" s="17" t="s">
        <v>34</v>
      </c>
      <c r="E2" s="17" t="s">
        <v>35</v>
      </c>
      <c r="F2" s="17" t="s">
        <v>36</v>
      </c>
      <c r="G2" s="17" t="s">
        <v>42</v>
      </c>
      <c r="H2" s="17" t="s">
        <v>41</v>
      </c>
      <c r="I2" s="5"/>
      <c r="J2" s="14"/>
    </row>
    <row r="3" spans="1:10" x14ac:dyDescent="0.35">
      <c r="A3" s="27" t="s">
        <v>29</v>
      </c>
      <c r="B3" s="3">
        <v>431</v>
      </c>
      <c r="C3" s="3">
        <v>172.19</v>
      </c>
      <c r="D3" s="3">
        <v>432</v>
      </c>
      <c r="E3" s="3">
        <v>443</v>
      </c>
      <c r="F3" s="3">
        <v>11</v>
      </c>
      <c r="G3" s="7">
        <f>15.68/60</f>
        <v>0.26133333333333331</v>
      </c>
      <c r="H3" s="7">
        <f>(B$17*B$19)/G3</f>
        <v>115.71428571428574</v>
      </c>
      <c r="I3" s="14"/>
      <c r="J3" s="14"/>
    </row>
    <row r="4" spans="1:10" x14ac:dyDescent="0.35">
      <c r="A4" s="27"/>
      <c r="B4" s="3">
        <v>433</v>
      </c>
      <c r="C4" s="3">
        <v>169.81</v>
      </c>
      <c r="D4" s="3">
        <v>370</v>
      </c>
      <c r="E4" s="3">
        <v>381</v>
      </c>
      <c r="F4" s="3">
        <v>11</v>
      </c>
      <c r="G4" s="7">
        <f>15.9/60</f>
        <v>0.26500000000000001</v>
      </c>
      <c r="H4" s="7">
        <f t="shared" ref="H3:H14" si="0">(B$17*B$19)/G4</f>
        <v>114.11320754716981</v>
      </c>
      <c r="I4" s="14"/>
      <c r="J4" s="14"/>
    </row>
    <row r="5" spans="1:10" x14ac:dyDescent="0.35">
      <c r="A5" s="27"/>
      <c r="B5" s="3">
        <v>419</v>
      </c>
      <c r="C5" s="3">
        <v>192.72</v>
      </c>
      <c r="D5" s="3">
        <v>356</v>
      </c>
      <c r="E5" s="3">
        <v>367</v>
      </c>
      <c r="F5" s="3">
        <v>11</v>
      </c>
      <c r="G5" s="7">
        <f>14.01/60</f>
        <v>0.23349999999999999</v>
      </c>
      <c r="H5" s="7">
        <f t="shared" si="0"/>
        <v>129.50749464668095</v>
      </c>
      <c r="I5" s="14"/>
      <c r="J5" s="14"/>
    </row>
    <row r="6" spans="1:10" x14ac:dyDescent="0.35">
      <c r="A6" s="27"/>
      <c r="B6" s="3">
        <v>421</v>
      </c>
      <c r="C6" s="3">
        <v>199.65</v>
      </c>
      <c r="D6" s="3">
        <v>360</v>
      </c>
      <c r="E6" s="3">
        <v>370</v>
      </c>
      <c r="F6" s="3">
        <v>10</v>
      </c>
      <c r="G6" s="7">
        <f>13.52/60</f>
        <v>0.22533333333333333</v>
      </c>
      <c r="H6" s="7">
        <f t="shared" si="0"/>
        <v>134.20118343195267</v>
      </c>
      <c r="I6" s="14"/>
      <c r="J6" s="14"/>
    </row>
    <row r="7" spans="1:10" x14ac:dyDescent="0.35">
      <c r="A7" s="27"/>
      <c r="B7" s="3">
        <v>424</v>
      </c>
      <c r="C7" s="3">
        <v>185.02</v>
      </c>
      <c r="D7" s="3">
        <v>440</v>
      </c>
      <c r="E7" s="3">
        <v>451</v>
      </c>
      <c r="F7" s="3">
        <v>11</v>
      </c>
      <c r="G7" s="7">
        <f>14.59/60</f>
        <v>0.24316666666666667</v>
      </c>
      <c r="H7" s="7">
        <f t="shared" si="0"/>
        <v>124.35915010281015</v>
      </c>
      <c r="I7" s="14"/>
      <c r="J7" s="14"/>
    </row>
    <row r="8" spans="1:10" x14ac:dyDescent="0.35">
      <c r="A8" s="27"/>
      <c r="B8" s="3">
        <v>429</v>
      </c>
      <c r="C8" s="3">
        <v>194.66</v>
      </c>
      <c r="D8" s="3">
        <v>349</v>
      </c>
      <c r="E8" s="3">
        <v>359</v>
      </c>
      <c r="F8" s="3">
        <v>10</v>
      </c>
      <c r="G8" s="7">
        <f>13.87/60</f>
        <v>0.23116666666666666</v>
      </c>
      <c r="H8" s="7">
        <f t="shared" si="0"/>
        <v>130.81470800288395</v>
      </c>
      <c r="I8" s="14"/>
      <c r="J8" s="14"/>
    </row>
    <row r="9" spans="1:10" x14ac:dyDescent="0.35">
      <c r="A9" s="27"/>
      <c r="B9" s="3">
        <v>425</v>
      </c>
      <c r="C9" s="3">
        <v>201.49</v>
      </c>
      <c r="D9" s="3">
        <v>332</v>
      </c>
      <c r="E9" s="3">
        <v>341</v>
      </c>
      <c r="F9" s="3">
        <v>9</v>
      </c>
      <c r="G9" s="7">
        <f>13.4/60</f>
        <v>0.22333333333333333</v>
      </c>
      <c r="H9" s="7">
        <f t="shared" si="0"/>
        <v>135.40298507462688</v>
      </c>
      <c r="I9" s="14"/>
      <c r="J9" s="14"/>
    </row>
    <row r="10" spans="1:10" x14ac:dyDescent="0.35">
      <c r="A10" s="27"/>
      <c r="B10" s="3">
        <v>427</v>
      </c>
      <c r="C10" s="3">
        <v>192.72</v>
      </c>
      <c r="D10" s="3">
        <v>345</v>
      </c>
      <c r="E10" s="3">
        <v>356</v>
      </c>
      <c r="F10" s="3">
        <v>11</v>
      </c>
      <c r="G10" s="7">
        <f>14.01/60</f>
        <v>0.23349999999999999</v>
      </c>
      <c r="H10" s="7">
        <f t="shared" si="0"/>
        <v>129.50749464668095</v>
      </c>
      <c r="I10" s="14"/>
      <c r="J10" s="14"/>
    </row>
    <row r="11" spans="1:10" x14ac:dyDescent="0.35">
      <c r="A11" s="27"/>
      <c r="B11" s="3">
        <v>420</v>
      </c>
      <c r="C11" s="3">
        <v>202.4</v>
      </c>
      <c r="D11" s="3">
        <v>363</v>
      </c>
      <c r="E11" s="3">
        <v>373</v>
      </c>
      <c r="F11" s="3">
        <v>10</v>
      </c>
      <c r="G11" s="7">
        <f>13.34/60</f>
        <v>0.22233333333333333</v>
      </c>
      <c r="H11" s="7">
        <f t="shared" si="0"/>
        <v>136.01199400299851</v>
      </c>
      <c r="I11" s="14"/>
      <c r="J11" s="14"/>
    </row>
    <row r="12" spans="1:10" x14ac:dyDescent="0.35">
      <c r="A12" s="27"/>
      <c r="B12" s="3">
        <v>432</v>
      </c>
      <c r="C12" s="3">
        <v>202.5</v>
      </c>
      <c r="D12" s="3">
        <v>372</v>
      </c>
      <c r="E12" s="3">
        <v>381</v>
      </c>
      <c r="F12" s="3">
        <v>9</v>
      </c>
      <c r="G12" s="7">
        <f>13.33/60</f>
        <v>0.22216666666666668</v>
      </c>
      <c r="H12" s="7">
        <f t="shared" si="0"/>
        <v>136.11402850712679</v>
      </c>
      <c r="I12" s="14"/>
      <c r="J12" s="14"/>
    </row>
    <row r="13" spans="1:10" x14ac:dyDescent="0.35">
      <c r="A13" s="27"/>
      <c r="B13" s="3">
        <v>426</v>
      </c>
      <c r="C13" s="3">
        <v>195.94</v>
      </c>
      <c r="D13" s="3">
        <v>346</v>
      </c>
      <c r="E13" s="3">
        <v>356</v>
      </c>
      <c r="F13" s="3">
        <v>10</v>
      </c>
      <c r="G13" s="7">
        <f>13.78/60</f>
        <v>0.22966666666666666</v>
      </c>
      <c r="H13" s="7">
        <f t="shared" si="0"/>
        <v>131.66908563134979</v>
      </c>
      <c r="I13" s="14"/>
      <c r="J13" s="14"/>
    </row>
    <row r="14" spans="1:10" x14ac:dyDescent="0.35">
      <c r="A14" s="27"/>
      <c r="B14" s="3">
        <v>416</v>
      </c>
      <c r="C14" s="3">
        <v>198.53</v>
      </c>
      <c r="D14" s="3"/>
      <c r="E14" s="3"/>
      <c r="F14" s="3"/>
      <c r="G14" s="7">
        <f>13.6/60</f>
        <v>0.22666666666666666</v>
      </c>
      <c r="H14" s="7">
        <f t="shared" si="0"/>
        <v>133.41176470588238</v>
      </c>
      <c r="I14" s="14"/>
      <c r="J14" s="14"/>
    </row>
    <row r="15" spans="1:10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56" x14ac:dyDescent="0.35">
      <c r="A16" s="16" t="s">
        <v>33</v>
      </c>
      <c r="B16" s="3">
        <v>470</v>
      </c>
      <c r="C16" s="14"/>
      <c r="D16" s="14"/>
      <c r="E16" s="14"/>
      <c r="F16" s="14"/>
      <c r="G16" s="14"/>
      <c r="H16" s="14"/>
      <c r="I16" s="14"/>
      <c r="J16" s="14"/>
    </row>
    <row r="17" spans="1:10" ht="56" x14ac:dyDescent="0.35">
      <c r="A17" s="16" t="s">
        <v>38</v>
      </c>
      <c r="B17" s="3">
        <v>33.6</v>
      </c>
      <c r="C17" s="14"/>
      <c r="D17" s="14"/>
      <c r="E17" s="14"/>
      <c r="F17" s="14"/>
      <c r="G17" s="14"/>
      <c r="H17" s="14"/>
      <c r="I17" s="14"/>
      <c r="J17" s="14"/>
    </row>
    <row r="18" spans="1:10" ht="28" x14ac:dyDescent="0.35">
      <c r="A18" s="16" t="s">
        <v>39</v>
      </c>
      <c r="B18" s="3">
        <v>7</v>
      </c>
      <c r="C18" s="14"/>
      <c r="D18" s="14"/>
      <c r="E18" s="14"/>
      <c r="F18" s="14"/>
      <c r="G18" s="14"/>
      <c r="H18" s="14"/>
      <c r="I18" s="14"/>
      <c r="J18" s="14"/>
    </row>
    <row r="19" spans="1:10" x14ac:dyDescent="0.35">
      <c r="A19" s="15" t="s">
        <v>40</v>
      </c>
      <c r="B19" s="3">
        <v>0.9</v>
      </c>
      <c r="C19" s="14"/>
      <c r="D19" s="14"/>
      <c r="E19" s="14"/>
      <c r="F19" s="14"/>
      <c r="G19" s="14"/>
      <c r="H19" s="14"/>
      <c r="I19" s="14"/>
      <c r="J19" s="14"/>
    </row>
    <row r="20" spans="1:10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35">
      <c r="A21" s="14"/>
    </row>
    <row r="22" spans="1:10" ht="15" customHeight="1" x14ac:dyDescent="0.35">
      <c r="A22" s="14"/>
    </row>
    <row r="23" spans="1:10" x14ac:dyDescent="0.35">
      <c r="A23" s="14"/>
    </row>
    <row r="24" spans="1:10" x14ac:dyDescent="0.35">
      <c r="A24" s="14"/>
    </row>
    <row r="25" spans="1:10" x14ac:dyDescent="0.35">
      <c r="A25" s="14"/>
    </row>
    <row r="26" spans="1:10" x14ac:dyDescent="0.35">
      <c r="A26" s="14"/>
    </row>
    <row r="27" spans="1:10" x14ac:dyDescent="0.35">
      <c r="A27" s="14"/>
    </row>
    <row r="28" spans="1:10" x14ac:dyDescent="0.35">
      <c r="A28" s="14"/>
    </row>
    <row r="29" spans="1:10" x14ac:dyDescent="0.35">
      <c r="A29" s="14"/>
    </row>
    <row r="30" spans="1:10" x14ac:dyDescent="0.35">
      <c r="A30" s="14"/>
    </row>
    <row r="31" spans="1:10" x14ac:dyDescent="0.35">
      <c r="A31" s="14"/>
    </row>
    <row r="32" spans="1:10" x14ac:dyDescent="0.35">
      <c r="A32" s="14"/>
    </row>
    <row r="33" spans="1:1" x14ac:dyDescent="0.35">
      <c r="A33" s="14"/>
    </row>
    <row r="34" spans="1:1" x14ac:dyDescent="0.35">
      <c r="A34" s="14"/>
    </row>
    <row r="35" spans="1:1" x14ac:dyDescent="0.35">
      <c r="A35" s="14"/>
    </row>
    <row r="36" spans="1:1" x14ac:dyDescent="0.35">
      <c r="A36" s="14"/>
    </row>
    <row r="37" spans="1:1" x14ac:dyDescent="0.35">
      <c r="A37" s="14"/>
    </row>
    <row r="38" spans="1:1" x14ac:dyDescent="0.35">
      <c r="A38" s="14"/>
    </row>
    <row r="39" spans="1:1" x14ac:dyDescent="0.35">
      <c r="A39" s="14"/>
    </row>
    <row r="40" spans="1:1" x14ac:dyDescent="0.35">
      <c r="A40" s="14"/>
    </row>
    <row r="41" spans="1:1" x14ac:dyDescent="0.35">
      <c r="A41" s="14"/>
    </row>
    <row r="42" spans="1:1" x14ac:dyDescent="0.35">
      <c r="A42" s="14"/>
    </row>
    <row r="43" spans="1:1" x14ac:dyDescent="0.35">
      <c r="A43" s="14"/>
    </row>
    <row r="44" spans="1:1" x14ac:dyDescent="0.35">
      <c r="A44" s="14"/>
    </row>
    <row r="45" spans="1:1" x14ac:dyDescent="0.35">
      <c r="A45" s="14"/>
    </row>
    <row r="46" spans="1:1" x14ac:dyDescent="0.35">
      <c r="A46" s="14"/>
    </row>
    <row r="47" spans="1:1" x14ac:dyDescent="0.35">
      <c r="A47" s="14"/>
    </row>
  </sheetData>
  <mergeCells count="2">
    <mergeCell ref="A1:H1"/>
    <mergeCell ref="A3:A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B938-40A4-4448-B799-318F126332B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Produktifitas</vt:lpstr>
      <vt:lpstr>FR &amp; FBR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Juli Yandi Rahman</cp:lastModifiedBy>
  <dcterms:created xsi:type="dcterms:W3CDTF">2025-02-15T02:26:48Z</dcterms:created>
  <dcterms:modified xsi:type="dcterms:W3CDTF">2025-03-03T13:45:16Z</dcterms:modified>
</cp:coreProperties>
</file>