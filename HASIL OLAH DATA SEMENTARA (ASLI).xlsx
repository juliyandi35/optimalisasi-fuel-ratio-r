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 P75240225\"/>
    </mc:Choice>
  </mc:AlternateContent>
  <xr:revisionPtr revIDLastSave="0" documentId="13_ncr:1_{7361B9CA-222A-4FB7-95AC-4E06EDF69C2B}" xr6:coauthVersionLast="47" xr6:coauthVersionMax="47" xr10:uidLastSave="{00000000-0000-0000-0000-000000000000}"/>
  <bookViews>
    <workbookView xWindow="-110" yWindow="-110" windowWidth="19420" windowHeight="10300" xr2:uid="{BDBF1D07-0934-45AD-B311-1E684BED2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" i="1" l="1"/>
  <c r="D4" i="1"/>
  <c r="P4" i="1"/>
  <c r="P11" i="1"/>
  <c r="M4" i="1"/>
  <c r="Q11" i="1" l="1"/>
  <c r="Q7" i="1"/>
  <c r="P7" i="1"/>
  <c r="BH24" i="1"/>
  <c r="BH22" i="1"/>
  <c r="BH20" i="1"/>
  <c r="BH18" i="1"/>
  <c r="BH16" i="1"/>
  <c r="BH14" i="1"/>
  <c r="BH12" i="1"/>
  <c r="BH8" i="1"/>
  <c r="BH6" i="1"/>
  <c r="BH4" i="1"/>
  <c r="BI24" i="1"/>
  <c r="BE22" i="1"/>
  <c r="BI22" i="1" s="1"/>
  <c r="BE24" i="1"/>
  <c r="BE20" i="1"/>
  <c r="BI20" i="1" s="1"/>
  <c r="BE18" i="1"/>
  <c r="BI18" i="1" s="1"/>
  <c r="BE16" i="1"/>
  <c r="BI16" i="1" s="1"/>
  <c r="BE14" i="1"/>
  <c r="BI14" i="1" s="1"/>
  <c r="BE12" i="1"/>
  <c r="BI12" i="1" s="1"/>
  <c r="BE8" i="1"/>
  <c r="BI8" i="1" s="1"/>
  <c r="BE6" i="1"/>
  <c r="BI6" i="1" s="1"/>
  <c r="BE4" i="1"/>
  <c r="BI4" i="1" s="1"/>
  <c r="AX23" i="1"/>
  <c r="AX12" i="1"/>
  <c r="AX6" i="1"/>
  <c r="AX22" i="1"/>
  <c r="AX20" i="1"/>
  <c r="AX18" i="1"/>
  <c r="AX16" i="1"/>
  <c r="AX14" i="1"/>
  <c r="AX10" i="1"/>
  <c r="AX8" i="1"/>
  <c r="AX4" i="1"/>
  <c r="AQ22" i="1"/>
  <c r="AQ14" i="1"/>
  <c r="AQ20" i="1"/>
  <c r="AQ18" i="1"/>
  <c r="AQ16" i="1"/>
  <c r="AQ12" i="1"/>
  <c r="AQ9" i="1"/>
  <c r="AQ7" i="1"/>
  <c r="AQ4" i="1"/>
  <c r="AJ16" i="1"/>
  <c r="AJ15" i="1"/>
  <c r="AJ14" i="1"/>
  <c r="AJ13" i="1"/>
  <c r="AJ11" i="1"/>
  <c r="AJ9" i="1"/>
  <c r="AJ7" i="1"/>
  <c r="AJ4" i="1"/>
  <c r="AJ3" i="1"/>
  <c r="AJ6" i="1"/>
  <c r="AC6" i="1"/>
  <c r="V9" i="1"/>
  <c r="M11" i="1"/>
  <c r="M7" i="1"/>
  <c r="D5" i="1"/>
  <c r="D6" i="1"/>
  <c r="D7" i="1"/>
  <c r="D9" i="1"/>
  <c r="D10" i="1"/>
  <c r="D13" i="1"/>
</calcChain>
</file>

<file path=xl/sharedStrings.xml><?xml version="1.0" encoding="utf-8"?>
<sst xmlns="http://schemas.openxmlformats.org/spreadsheetml/2006/main" count="63" uniqueCount="11">
  <si>
    <t>HM/KM</t>
  </si>
  <si>
    <t>ADT</t>
  </si>
  <si>
    <t>Start HM</t>
  </si>
  <si>
    <t>End HM</t>
  </si>
  <si>
    <t>Liter</t>
  </si>
  <si>
    <t>Total Hours</t>
  </si>
  <si>
    <t>full</t>
  </si>
  <si>
    <t>HM/KM (pengisian)</t>
  </si>
  <si>
    <t>Fuel Ratio Aktual (L/Jam)</t>
  </si>
  <si>
    <t>Fuel Ratio (L/jam)</t>
  </si>
  <si>
    <t>Total Pengisisan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</si>
</sst>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95384-32E1-4B0B-BAC1-B5C8C1831B27}">
  <dimension ref="A1:BS40"/>
  <sheetViews>
    <sheetView tabSelected="1" topLeftCell="D1" workbookViewId="0">
      <selection activeCell="Q5" sqref="Q5"/>
    </sheetView>
  </sheetViews>
  <sheetFormatPr defaultColWidth="8.90625" defaultRowHeight="14.5" x14ac:dyDescent="0.35"/>
  <cols>
    <col min="1" max="1" width="8.90625" style="3"/>
    <col min="2" max="2" width="18.08984375" style="3" customWidth="1"/>
    <col min="3" max="6" width="8.90625" style="3"/>
    <col min="7" max="7" width="10" style="3" customWidth="1"/>
    <col min="8" max="15" width="8.90625" style="3"/>
    <col min="16" max="16" width="9.81640625" style="3" customWidth="1"/>
    <col min="17" max="36" width="8.90625" style="3"/>
    <col min="37" max="37" width="10.6328125" style="3" customWidth="1"/>
    <col min="38" max="59" width="8.90625" style="3"/>
    <col min="60" max="60" width="10.6328125" style="3" customWidth="1"/>
    <col min="61" max="16384" width="8.90625" style="3"/>
  </cols>
  <sheetData>
    <row r="1" spans="1:71" x14ac:dyDescent="0.35">
      <c r="A1" s="5">
        <v>45689</v>
      </c>
      <c r="B1" s="6"/>
      <c r="C1" s="6"/>
      <c r="D1" s="6"/>
      <c r="E1" s="6"/>
      <c r="F1" s="6"/>
      <c r="J1" s="5">
        <v>45693</v>
      </c>
      <c r="K1" s="6"/>
      <c r="L1" s="6"/>
      <c r="M1" s="6"/>
      <c r="N1" s="6"/>
      <c r="O1" s="6"/>
      <c r="S1" s="5">
        <v>45695</v>
      </c>
      <c r="T1" s="6"/>
      <c r="U1" s="6"/>
      <c r="V1" s="6"/>
      <c r="W1" s="6"/>
      <c r="X1" s="6"/>
      <c r="Z1" s="5">
        <v>45696</v>
      </c>
      <c r="AA1" s="6"/>
      <c r="AB1" s="6"/>
      <c r="AC1" s="6"/>
      <c r="AD1" s="6"/>
      <c r="AE1" s="6"/>
      <c r="AG1" s="5">
        <v>45699</v>
      </c>
      <c r="AH1" s="6"/>
      <c r="AI1" s="6"/>
      <c r="AJ1" s="6"/>
      <c r="AK1" s="6"/>
      <c r="AL1" s="6"/>
      <c r="AN1" s="5">
        <v>45700</v>
      </c>
      <c r="AO1" s="6"/>
      <c r="AP1" s="6"/>
      <c r="AQ1" s="6"/>
      <c r="AR1" s="6"/>
      <c r="AS1" s="6"/>
      <c r="AU1" s="5">
        <v>45701</v>
      </c>
      <c r="AV1" s="6"/>
      <c r="AW1" s="6"/>
      <c r="AX1" s="6"/>
      <c r="AY1" s="6"/>
      <c r="AZ1" s="6"/>
      <c r="BB1" s="5">
        <v>45702</v>
      </c>
      <c r="BC1" s="6"/>
      <c r="BD1" s="6"/>
      <c r="BE1" s="6"/>
      <c r="BF1" s="6"/>
      <c r="BG1" s="6"/>
      <c r="BN1" s="5">
        <v>45704</v>
      </c>
      <c r="BO1" s="6"/>
      <c r="BP1" s="6"/>
      <c r="BQ1" s="6"/>
      <c r="BR1" s="6"/>
      <c r="BS1" s="6"/>
    </row>
    <row r="2" spans="1:71" ht="43.5" x14ac:dyDescent="0.35">
      <c r="A2" s="1" t="s">
        <v>1</v>
      </c>
      <c r="B2" s="1" t="s">
        <v>2</v>
      </c>
      <c r="C2" s="1" t="s">
        <v>3</v>
      </c>
      <c r="D2" s="2" t="s">
        <v>5</v>
      </c>
      <c r="E2" s="1" t="s">
        <v>0</v>
      </c>
      <c r="F2" s="1" t="s">
        <v>4</v>
      </c>
      <c r="G2" s="4"/>
      <c r="H2" s="4" t="s">
        <v>9</v>
      </c>
      <c r="J2" s="1" t="s">
        <v>1</v>
      </c>
      <c r="K2" s="1" t="s">
        <v>2</v>
      </c>
      <c r="L2" s="1" t="s">
        <v>3</v>
      </c>
      <c r="M2" s="2" t="s">
        <v>5</v>
      </c>
      <c r="N2" s="1" t="s">
        <v>0</v>
      </c>
      <c r="O2" s="1" t="s">
        <v>4</v>
      </c>
      <c r="P2" s="4" t="s">
        <v>10</v>
      </c>
      <c r="Q2" s="4" t="s">
        <v>9</v>
      </c>
      <c r="S2" s="1" t="s">
        <v>1</v>
      </c>
      <c r="T2" s="1" t="s">
        <v>2</v>
      </c>
      <c r="U2" s="1" t="s">
        <v>3</v>
      </c>
      <c r="V2" s="2" t="s">
        <v>5</v>
      </c>
      <c r="W2" s="1" t="s">
        <v>0</v>
      </c>
      <c r="X2" s="1" t="s">
        <v>4</v>
      </c>
      <c r="Z2" s="1" t="s">
        <v>1</v>
      </c>
      <c r="AA2" s="1" t="s">
        <v>2</v>
      </c>
      <c r="AB2" s="1" t="s">
        <v>3</v>
      </c>
      <c r="AC2" s="2" t="s">
        <v>5</v>
      </c>
      <c r="AD2" s="1" t="s">
        <v>0</v>
      </c>
      <c r="AE2" s="1" t="s">
        <v>4</v>
      </c>
      <c r="AG2" s="1" t="s">
        <v>1</v>
      </c>
      <c r="AH2" s="1" t="s">
        <v>2</v>
      </c>
      <c r="AI2" s="1" t="s">
        <v>3</v>
      </c>
      <c r="AJ2" s="2" t="s">
        <v>5</v>
      </c>
      <c r="AK2" s="2" t="s">
        <v>7</v>
      </c>
      <c r="AL2" s="1" t="s">
        <v>4</v>
      </c>
      <c r="AN2" s="1" t="s">
        <v>1</v>
      </c>
      <c r="AO2" s="1" t="s">
        <v>2</v>
      </c>
      <c r="AP2" s="1" t="s">
        <v>3</v>
      </c>
      <c r="AQ2" s="2" t="s">
        <v>5</v>
      </c>
      <c r="AR2" s="2" t="s">
        <v>0</v>
      </c>
      <c r="AS2" s="1" t="s">
        <v>4</v>
      </c>
      <c r="AU2" s="1" t="s">
        <v>1</v>
      </c>
      <c r="AV2" s="1" t="s">
        <v>2</v>
      </c>
      <c r="AW2" s="1" t="s">
        <v>3</v>
      </c>
      <c r="AX2" s="2" t="s">
        <v>5</v>
      </c>
      <c r="AY2" s="1" t="s">
        <v>0</v>
      </c>
      <c r="AZ2" s="1" t="s">
        <v>4</v>
      </c>
      <c r="BB2" s="1" t="s">
        <v>1</v>
      </c>
      <c r="BC2" s="1" t="s">
        <v>2</v>
      </c>
      <c r="BD2" s="1" t="s">
        <v>3</v>
      </c>
      <c r="BE2" s="2" t="s">
        <v>5</v>
      </c>
      <c r="BF2" s="1" t="s">
        <v>0</v>
      </c>
      <c r="BG2" s="1" t="s">
        <v>4</v>
      </c>
      <c r="BH2" s="4" t="s">
        <v>10</v>
      </c>
      <c r="BI2" s="4" t="s">
        <v>9</v>
      </c>
      <c r="BJ2" s="4"/>
      <c r="BL2" s="4"/>
      <c r="BN2" s="1" t="s">
        <v>1</v>
      </c>
      <c r="BO2" s="1" t="s">
        <v>2</v>
      </c>
      <c r="BP2" s="1" t="s">
        <v>3</v>
      </c>
      <c r="BQ2" s="2" t="s">
        <v>5</v>
      </c>
      <c r="BR2" s="1" t="s">
        <v>0</v>
      </c>
      <c r="BS2" s="1" t="s">
        <v>4</v>
      </c>
    </row>
    <row r="3" spans="1:71" x14ac:dyDescent="0.35">
      <c r="A3" s="1">
        <v>416</v>
      </c>
      <c r="B3" s="1"/>
      <c r="C3" s="1"/>
      <c r="D3" s="1"/>
      <c r="E3" s="1"/>
      <c r="F3" s="1"/>
      <c r="J3" s="1">
        <v>416</v>
      </c>
      <c r="K3" s="1"/>
      <c r="L3" s="1"/>
      <c r="M3" s="1"/>
      <c r="N3" s="1"/>
      <c r="O3" s="1"/>
      <c r="S3" s="1">
        <v>416</v>
      </c>
      <c r="T3" s="1"/>
      <c r="U3" s="1"/>
      <c r="V3" s="1"/>
      <c r="W3" s="1"/>
      <c r="X3" s="1"/>
      <c r="Z3" s="1">
        <v>416</v>
      </c>
      <c r="AA3" s="1"/>
      <c r="AB3" s="1"/>
      <c r="AC3" s="1"/>
      <c r="AD3" s="1"/>
      <c r="AE3" s="1"/>
      <c r="AG3" s="1">
        <v>416</v>
      </c>
      <c r="AH3" s="1">
        <v>2626</v>
      </c>
      <c r="AI3" s="1">
        <v>2636</v>
      </c>
      <c r="AJ3" s="1">
        <f>AI3-AH3</f>
        <v>10</v>
      </c>
      <c r="AK3" s="1">
        <v>2630</v>
      </c>
      <c r="AL3" s="1">
        <v>270</v>
      </c>
      <c r="AN3" s="1">
        <v>416</v>
      </c>
      <c r="AO3" s="1"/>
      <c r="AP3" s="1"/>
      <c r="AQ3" s="1"/>
      <c r="AR3" s="1"/>
      <c r="AS3" s="1"/>
      <c r="AU3" s="1">
        <v>416</v>
      </c>
      <c r="AV3" s="1"/>
      <c r="AW3" s="1"/>
      <c r="AX3" s="1"/>
      <c r="AY3" s="1"/>
      <c r="AZ3" s="1"/>
      <c r="BB3" s="1">
        <v>416</v>
      </c>
      <c r="BC3" s="1"/>
      <c r="BD3" s="1"/>
      <c r="BE3" s="1"/>
      <c r="BF3" s="1"/>
      <c r="BG3" s="1"/>
      <c r="BN3" s="1">
        <v>416</v>
      </c>
      <c r="BO3" s="1"/>
      <c r="BP3" s="1"/>
      <c r="BQ3" s="1"/>
      <c r="BR3" s="1"/>
      <c r="BS3" s="1"/>
    </row>
    <row r="4" spans="1:71" x14ac:dyDescent="0.35">
      <c r="A4" s="1">
        <v>419</v>
      </c>
      <c r="B4" s="1">
        <v>144</v>
      </c>
      <c r="C4" s="1">
        <v>150</v>
      </c>
      <c r="D4" s="1">
        <f>C4-B4</f>
        <v>6</v>
      </c>
      <c r="E4" s="1">
        <v>149</v>
      </c>
      <c r="F4" s="1">
        <v>360</v>
      </c>
      <c r="J4" s="7">
        <v>419</v>
      </c>
      <c r="K4" s="1">
        <v>205</v>
      </c>
      <c r="L4" s="1">
        <v>227</v>
      </c>
      <c r="M4" s="1">
        <f>L4-K4</f>
        <v>22</v>
      </c>
      <c r="N4" s="1">
        <v>209</v>
      </c>
      <c r="O4" s="1">
        <v>218</v>
      </c>
      <c r="P4" s="3">
        <f>O4+O5</f>
        <v>518</v>
      </c>
      <c r="Q4" s="3">
        <f>P4/M4</f>
        <v>23.545454545454547</v>
      </c>
      <c r="S4" s="1">
        <v>419</v>
      </c>
      <c r="T4" s="1"/>
      <c r="U4" s="1"/>
      <c r="V4" s="1"/>
      <c r="W4" s="1"/>
      <c r="X4" s="1"/>
      <c r="Z4" s="1">
        <v>419</v>
      </c>
      <c r="AA4" s="1"/>
      <c r="AB4" s="1"/>
      <c r="AC4" s="1"/>
      <c r="AD4" s="1"/>
      <c r="AE4" s="1"/>
      <c r="AG4" s="1">
        <v>419</v>
      </c>
      <c r="AH4" s="1">
        <v>323</v>
      </c>
      <c r="AI4" s="1">
        <v>336</v>
      </c>
      <c r="AJ4" s="1">
        <f>AI4-AH4</f>
        <v>13</v>
      </c>
      <c r="AK4" s="1">
        <v>328</v>
      </c>
      <c r="AL4" s="1">
        <v>270</v>
      </c>
      <c r="AN4" s="7">
        <v>419</v>
      </c>
      <c r="AO4" s="1">
        <v>336</v>
      </c>
      <c r="AP4" s="1">
        <v>356</v>
      </c>
      <c r="AQ4" s="1">
        <f>AP4-AO4</f>
        <v>20</v>
      </c>
      <c r="AR4" s="1">
        <v>339</v>
      </c>
      <c r="AS4" s="1">
        <v>225</v>
      </c>
      <c r="AU4" s="7">
        <v>419</v>
      </c>
      <c r="AV4" s="1">
        <v>357</v>
      </c>
      <c r="AW4" s="1">
        <v>377</v>
      </c>
      <c r="AX4" s="1">
        <f>AW4-AV4</f>
        <v>20</v>
      </c>
      <c r="AY4" s="1">
        <v>360</v>
      </c>
      <c r="AZ4" s="1">
        <v>330</v>
      </c>
      <c r="BB4" s="7">
        <v>419</v>
      </c>
      <c r="BC4" s="1">
        <v>377</v>
      </c>
      <c r="BD4" s="1">
        <v>392</v>
      </c>
      <c r="BE4" s="1">
        <f>BD4-BC4</f>
        <v>15</v>
      </c>
      <c r="BF4" s="1">
        <v>380</v>
      </c>
      <c r="BG4" s="1">
        <v>227</v>
      </c>
      <c r="BH4" s="3">
        <f>BG4+BG5</f>
        <v>417</v>
      </c>
      <c r="BI4" s="3">
        <f>(BG4+BG5)/BE4</f>
        <v>27.8</v>
      </c>
      <c r="BN4" s="7">
        <v>419</v>
      </c>
      <c r="BO4" s="1"/>
      <c r="BP4" s="1"/>
      <c r="BQ4" s="1"/>
      <c r="BR4" s="1"/>
      <c r="BS4" s="1"/>
    </row>
    <row r="5" spans="1:71" x14ac:dyDescent="0.35">
      <c r="A5" s="1">
        <v>420</v>
      </c>
      <c r="B5" s="1">
        <v>165</v>
      </c>
      <c r="C5" s="1">
        <v>171</v>
      </c>
      <c r="D5" s="1">
        <f t="shared" ref="D5:D13" si="0">C5-B5</f>
        <v>6</v>
      </c>
      <c r="E5" s="1">
        <v>159</v>
      </c>
      <c r="F5" s="1">
        <v>268</v>
      </c>
      <c r="J5" s="8"/>
      <c r="K5" s="1"/>
      <c r="L5" s="1"/>
      <c r="M5" s="1"/>
      <c r="N5" s="1">
        <v>220</v>
      </c>
      <c r="O5" s="1">
        <v>300</v>
      </c>
      <c r="S5" s="1">
        <v>420</v>
      </c>
      <c r="T5" s="1"/>
      <c r="U5" s="1"/>
      <c r="V5" s="1"/>
      <c r="W5" s="1"/>
      <c r="X5" s="1"/>
      <c r="Z5" s="1">
        <v>420</v>
      </c>
      <c r="AA5" s="1"/>
      <c r="AB5" s="1"/>
      <c r="AC5" s="1"/>
      <c r="AD5" s="1"/>
      <c r="AE5" s="1"/>
      <c r="AG5" s="1">
        <v>420</v>
      </c>
      <c r="AH5" s="1"/>
      <c r="AI5" s="1"/>
      <c r="AJ5" s="1"/>
      <c r="AK5" s="1"/>
      <c r="AL5" s="1"/>
      <c r="AN5" s="8"/>
      <c r="AO5" s="1"/>
      <c r="AP5" s="1"/>
      <c r="AQ5" s="1"/>
      <c r="AR5" s="1">
        <v>350</v>
      </c>
      <c r="AS5" s="1">
        <v>276</v>
      </c>
      <c r="AU5" s="8"/>
      <c r="AV5" s="1"/>
      <c r="AW5" s="1"/>
      <c r="AX5" s="1"/>
      <c r="AY5" s="1">
        <v>372</v>
      </c>
      <c r="AZ5" s="1">
        <v>240</v>
      </c>
      <c r="BB5" s="8"/>
      <c r="BC5" s="1"/>
      <c r="BD5" s="1"/>
      <c r="BE5" s="1"/>
      <c r="BF5" s="1">
        <v>387</v>
      </c>
      <c r="BG5" s="1">
        <v>190</v>
      </c>
      <c r="BN5" s="8"/>
      <c r="BO5" s="1"/>
      <c r="BP5" s="1"/>
      <c r="BQ5" s="1"/>
      <c r="BR5" s="1"/>
      <c r="BS5" s="1"/>
    </row>
    <row r="6" spans="1:71" x14ac:dyDescent="0.35">
      <c r="A6" s="1">
        <v>421</v>
      </c>
      <c r="B6" s="1">
        <v>159</v>
      </c>
      <c r="C6" s="1">
        <v>164</v>
      </c>
      <c r="D6" s="1">
        <f t="shared" si="0"/>
        <v>5</v>
      </c>
      <c r="E6" s="1">
        <v>163</v>
      </c>
      <c r="F6" s="1">
        <v>276</v>
      </c>
      <c r="J6" s="1">
        <v>420</v>
      </c>
      <c r="K6" s="1"/>
      <c r="L6" s="1"/>
      <c r="M6" s="1"/>
      <c r="N6" s="1"/>
      <c r="O6" s="1"/>
      <c r="S6" s="1">
        <v>421</v>
      </c>
      <c r="T6" s="1"/>
      <c r="U6" s="1"/>
      <c r="V6" s="1"/>
      <c r="W6" s="1"/>
      <c r="X6" s="1"/>
      <c r="Z6" s="7">
        <v>421</v>
      </c>
      <c r="AA6" s="1">
        <v>278</v>
      </c>
      <c r="AB6" s="1">
        <v>297</v>
      </c>
      <c r="AC6" s="1">
        <f>AB6-AA6</f>
        <v>19</v>
      </c>
      <c r="AD6" s="1">
        <v>282</v>
      </c>
      <c r="AE6" s="1">
        <v>270</v>
      </c>
      <c r="AG6" s="1">
        <v>421</v>
      </c>
      <c r="AH6" s="1">
        <v>335</v>
      </c>
      <c r="AI6" s="1">
        <v>340</v>
      </c>
      <c r="AJ6" s="1">
        <f>AI6-AH6</f>
        <v>5</v>
      </c>
      <c r="AK6" s="1">
        <v>340</v>
      </c>
      <c r="AL6" s="1">
        <v>315</v>
      </c>
      <c r="AN6" s="1">
        <v>420</v>
      </c>
      <c r="AO6" s="1"/>
      <c r="AP6" s="1"/>
      <c r="AQ6" s="1"/>
      <c r="AR6" s="1"/>
      <c r="AS6" s="1"/>
      <c r="AU6" s="7">
        <v>420</v>
      </c>
      <c r="AV6" s="1">
        <v>363</v>
      </c>
      <c r="AW6" s="1">
        <v>382</v>
      </c>
      <c r="AX6" s="1">
        <f>AW6-AV6</f>
        <v>19</v>
      </c>
      <c r="AY6" s="1">
        <v>367</v>
      </c>
      <c r="AZ6" s="1">
        <v>330</v>
      </c>
      <c r="BB6" s="7">
        <v>420</v>
      </c>
      <c r="BC6" s="1">
        <v>382</v>
      </c>
      <c r="BD6" s="1">
        <v>398</v>
      </c>
      <c r="BE6" s="1">
        <f>BD6-BC6</f>
        <v>16</v>
      </c>
      <c r="BF6" s="1">
        <v>385</v>
      </c>
      <c r="BG6" s="1">
        <v>163</v>
      </c>
      <c r="BH6" s="3">
        <f>BG6+BG7</f>
        <v>383</v>
      </c>
      <c r="BI6" s="3">
        <f>(BG6+BG7)/BE6</f>
        <v>23.9375</v>
      </c>
      <c r="BN6" s="7">
        <v>420</v>
      </c>
      <c r="BO6" s="1"/>
      <c r="BP6" s="1"/>
      <c r="BQ6" s="1"/>
      <c r="BR6" s="1"/>
      <c r="BS6" s="1"/>
    </row>
    <row r="7" spans="1:71" x14ac:dyDescent="0.35">
      <c r="A7" s="1">
        <v>424</v>
      </c>
      <c r="B7" s="1">
        <v>242</v>
      </c>
      <c r="C7" s="1">
        <v>247</v>
      </c>
      <c r="D7" s="1">
        <f t="shared" si="0"/>
        <v>5</v>
      </c>
      <c r="E7" s="1">
        <v>246</v>
      </c>
      <c r="F7" s="1">
        <v>236</v>
      </c>
      <c r="J7" s="7">
        <v>421</v>
      </c>
      <c r="K7" s="1">
        <v>220</v>
      </c>
      <c r="L7" s="1">
        <v>240</v>
      </c>
      <c r="M7" s="1">
        <f>L7-K7</f>
        <v>20</v>
      </c>
      <c r="N7" s="1">
        <v>224</v>
      </c>
      <c r="O7" s="1">
        <v>200</v>
      </c>
      <c r="P7" s="3">
        <f>O7+O8</f>
        <v>586</v>
      </c>
      <c r="Q7" s="3">
        <f>P7/M7</f>
        <v>29.3</v>
      </c>
      <c r="S7" s="1">
        <v>424</v>
      </c>
      <c r="T7" s="1"/>
      <c r="U7" s="1"/>
      <c r="V7" s="1"/>
      <c r="W7" s="1"/>
      <c r="X7" s="1"/>
      <c r="Z7" s="8"/>
      <c r="AA7" s="1"/>
      <c r="AB7" s="1"/>
      <c r="AC7" s="1"/>
      <c r="AD7" s="1">
        <v>293</v>
      </c>
      <c r="AE7" s="1">
        <v>222</v>
      </c>
      <c r="AG7" s="1">
        <v>424</v>
      </c>
      <c r="AH7" s="1">
        <v>407</v>
      </c>
      <c r="AI7" s="1">
        <v>421</v>
      </c>
      <c r="AJ7" s="1">
        <f>AI7-AH7</f>
        <v>14</v>
      </c>
      <c r="AK7" s="1">
        <v>412</v>
      </c>
      <c r="AL7" s="1">
        <v>152</v>
      </c>
      <c r="AN7" s="7">
        <v>421</v>
      </c>
      <c r="AO7" s="1">
        <v>340</v>
      </c>
      <c r="AP7" s="1">
        <v>360</v>
      </c>
      <c r="AQ7" s="1">
        <f>AP7-AO7</f>
        <v>20</v>
      </c>
      <c r="AR7" s="1">
        <v>344</v>
      </c>
      <c r="AS7" s="1">
        <v>160</v>
      </c>
      <c r="AU7" s="8"/>
      <c r="AV7" s="1"/>
      <c r="AW7" s="1"/>
      <c r="AX7" s="1"/>
      <c r="AY7" s="1">
        <v>376</v>
      </c>
      <c r="AZ7" s="1">
        <v>251</v>
      </c>
      <c r="BB7" s="8"/>
      <c r="BC7" s="1"/>
      <c r="BD7" s="1"/>
      <c r="BE7" s="1"/>
      <c r="BF7" s="1">
        <v>392</v>
      </c>
      <c r="BG7" s="1">
        <v>220</v>
      </c>
      <c r="BN7" s="8"/>
      <c r="BO7" s="1"/>
      <c r="BP7" s="1"/>
      <c r="BQ7" s="1"/>
      <c r="BR7" s="1"/>
      <c r="BS7" s="1"/>
    </row>
    <row r="8" spans="1:71" x14ac:dyDescent="0.35">
      <c r="A8" s="1">
        <v>425</v>
      </c>
      <c r="B8" s="1"/>
      <c r="C8" s="1"/>
      <c r="D8" s="1"/>
      <c r="E8" s="1"/>
      <c r="F8" s="1"/>
      <c r="J8" s="8"/>
      <c r="K8" s="1"/>
      <c r="L8" s="1"/>
      <c r="M8" s="1"/>
      <c r="N8" s="1">
        <v>234</v>
      </c>
      <c r="O8" s="1">
        <v>386</v>
      </c>
      <c r="S8" s="1">
        <v>425</v>
      </c>
      <c r="T8" s="1"/>
      <c r="U8" s="1"/>
      <c r="V8" s="1"/>
      <c r="W8" s="1"/>
      <c r="X8" s="1"/>
      <c r="Z8" s="1">
        <v>424</v>
      </c>
      <c r="AA8" s="1"/>
      <c r="AB8" s="1"/>
      <c r="AC8" s="1"/>
      <c r="AD8" s="1"/>
      <c r="AE8" s="1"/>
      <c r="AG8" s="1"/>
      <c r="AH8" s="1"/>
      <c r="AI8" s="1"/>
      <c r="AJ8" s="1"/>
      <c r="AK8" s="1">
        <v>415</v>
      </c>
      <c r="AL8" s="1">
        <v>150</v>
      </c>
      <c r="AN8" s="8"/>
      <c r="AO8" s="1"/>
      <c r="AP8" s="1"/>
      <c r="AQ8" s="1"/>
      <c r="AR8" s="1">
        <v>355</v>
      </c>
      <c r="AS8" s="1">
        <v>129</v>
      </c>
      <c r="AU8" s="7">
        <v>421</v>
      </c>
      <c r="AV8" s="1">
        <v>360</v>
      </c>
      <c r="AW8" s="1">
        <v>380</v>
      </c>
      <c r="AX8" s="1">
        <f>AW8-AV8</f>
        <v>20</v>
      </c>
      <c r="AY8" s="1">
        <v>363</v>
      </c>
      <c r="AZ8" s="1">
        <v>350</v>
      </c>
      <c r="BB8" s="7">
        <v>421</v>
      </c>
      <c r="BC8" s="1">
        <v>380</v>
      </c>
      <c r="BD8" s="1">
        <v>396</v>
      </c>
      <c r="BE8" s="1">
        <f>BD8-BC8</f>
        <v>16</v>
      </c>
      <c r="BF8" s="1">
        <v>383</v>
      </c>
      <c r="BG8" s="1">
        <v>224</v>
      </c>
      <c r="BH8" s="3">
        <f>BG8+BG9</f>
        <v>434</v>
      </c>
      <c r="BI8" s="3">
        <f>(BG8+BG9)/BE8</f>
        <v>27.125</v>
      </c>
      <c r="BN8" s="7">
        <v>421</v>
      </c>
      <c r="BO8" s="1"/>
      <c r="BP8" s="1"/>
      <c r="BQ8" s="1"/>
      <c r="BR8" s="1"/>
      <c r="BS8" s="1"/>
    </row>
    <row r="9" spans="1:71" x14ac:dyDescent="0.35">
      <c r="A9" s="1">
        <v>426</v>
      </c>
      <c r="B9" s="1">
        <v>148</v>
      </c>
      <c r="C9" s="1">
        <v>154</v>
      </c>
      <c r="D9" s="1">
        <f t="shared" si="0"/>
        <v>6</v>
      </c>
      <c r="E9" s="1">
        <v>152</v>
      </c>
      <c r="F9" s="1">
        <v>219</v>
      </c>
      <c r="J9" s="1">
        <v>424</v>
      </c>
      <c r="K9" s="1"/>
      <c r="L9" s="1"/>
      <c r="M9" s="1"/>
      <c r="N9" s="1"/>
      <c r="O9" s="1"/>
      <c r="S9" s="7">
        <v>426</v>
      </c>
      <c r="T9" s="1">
        <v>249</v>
      </c>
      <c r="U9" s="1">
        <v>269</v>
      </c>
      <c r="V9" s="1">
        <f>U9-T9</f>
        <v>20</v>
      </c>
      <c r="W9" s="1">
        <v>254</v>
      </c>
      <c r="X9" s="1">
        <v>231</v>
      </c>
      <c r="Z9" s="1">
        <v>425</v>
      </c>
      <c r="AA9" s="1"/>
      <c r="AB9" s="1"/>
      <c r="AC9" s="1"/>
      <c r="AD9" s="1"/>
      <c r="AE9" s="1"/>
      <c r="AG9" s="7">
        <v>425</v>
      </c>
      <c r="AH9" s="1">
        <v>306</v>
      </c>
      <c r="AI9" s="1">
        <v>314</v>
      </c>
      <c r="AJ9" s="1">
        <f>AI9-AH9</f>
        <v>8</v>
      </c>
      <c r="AK9" s="1">
        <v>311</v>
      </c>
      <c r="AL9" s="1">
        <v>270</v>
      </c>
      <c r="AN9" s="7">
        <v>424</v>
      </c>
      <c r="AO9" s="1">
        <v>421</v>
      </c>
      <c r="AP9" s="1">
        <v>440</v>
      </c>
      <c r="AQ9" s="1">
        <f>AP9-AO9</f>
        <v>19</v>
      </c>
      <c r="AR9" s="1">
        <v>424</v>
      </c>
      <c r="AS9" s="1">
        <v>280</v>
      </c>
      <c r="AU9" s="8"/>
      <c r="AV9" s="1"/>
      <c r="AW9" s="1"/>
      <c r="AX9" s="1"/>
      <c r="AY9" s="1">
        <v>375</v>
      </c>
      <c r="AZ9" s="1">
        <v>269</v>
      </c>
      <c r="BB9" s="8"/>
      <c r="BC9" s="1"/>
      <c r="BD9" s="1"/>
      <c r="BE9" s="1"/>
      <c r="BF9" s="1">
        <v>390</v>
      </c>
      <c r="BG9" s="1">
        <v>210</v>
      </c>
      <c r="BN9" s="8"/>
      <c r="BO9" s="1"/>
      <c r="BP9" s="1"/>
      <c r="BQ9" s="1"/>
      <c r="BR9" s="1"/>
      <c r="BS9" s="1"/>
    </row>
    <row r="10" spans="1:71" x14ac:dyDescent="0.35">
      <c r="A10" s="1">
        <v>427</v>
      </c>
      <c r="B10" s="1">
        <v>155</v>
      </c>
      <c r="C10" s="1">
        <v>161</v>
      </c>
      <c r="D10" s="1">
        <f t="shared" si="0"/>
        <v>6</v>
      </c>
      <c r="E10" s="1">
        <v>159</v>
      </c>
      <c r="F10" s="1">
        <v>323</v>
      </c>
      <c r="J10" s="1">
        <v>425</v>
      </c>
      <c r="K10" s="1"/>
      <c r="L10" s="1"/>
      <c r="M10" s="1"/>
      <c r="N10" s="1"/>
      <c r="O10" s="1"/>
      <c r="S10" s="8"/>
      <c r="T10" s="1"/>
      <c r="U10" s="1"/>
      <c r="V10" s="1"/>
      <c r="W10" s="1">
        <v>262</v>
      </c>
      <c r="X10" s="1">
        <v>200</v>
      </c>
      <c r="Z10" s="1">
        <v>426</v>
      </c>
      <c r="AA10" s="1"/>
      <c r="AB10" s="1"/>
      <c r="AC10" s="1"/>
      <c r="AD10" s="1"/>
      <c r="AE10" s="1"/>
      <c r="AG10" s="8"/>
      <c r="AH10" s="1"/>
      <c r="AI10" s="1"/>
      <c r="AJ10" s="1"/>
      <c r="AK10" s="1">
        <v>313</v>
      </c>
      <c r="AL10" s="1">
        <v>80</v>
      </c>
      <c r="AN10" s="8"/>
      <c r="AO10" s="1"/>
      <c r="AP10" s="1"/>
      <c r="AQ10" s="1"/>
      <c r="AR10" s="1">
        <v>435</v>
      </c>
      <c r="AS10" s="1">
        <v>190</v>
      </c>
      <c r="AU10" s="7">
        <v>424</v>
      </c>
      <c r="AV10" s="1">
        <v>440</v>
      </c>
      <c r="AW10" s="1">
        <v>457</v>
      </c>
      <c r="AX10" s="1">
        <f>AW10-AV10</f>
        <v>17</v>
      </c>
      <c r="AY10" s="1">
        <v>444</v>
      </c>
      <c r="AZ10" s="1">
        <v>178</v>
      </c>
      <c r="BB10" s="7">
        <v>424</v>
      </c>
      <c r="BC10" s="1"/>
      <c r="BD10" s="1"/>
      <c r="BE10" s="1"/>
      <c r="BF10" s="1"/>
      <c r="BG10" s="1"/>
      <c r="BN10" s="7">
        <v>424</v>
      </c>
      <c r="BO10" s="1"/>
      <c r="BP10" s="1"/>
      <c r="BQ10" s="1"/>
      <c r="BR10" s="1"/>
      <c r="BS10" s="1"/>
    </row>
    <row r="11" spans="1:71" x14ac:dyDescent="0.35">
      <c r="A11" s="1">
        <v>429</v>
      </c>
      <c r="B11" s="1"/>
      <c r="C11" s="1"/>
      <c r="D11" s="1"/>
      <c r="E11" s="1"/>
      <c r="F11" s="1"/>
      <c r="J11" s="7">
        <v>426</v>
      </c>
      <c r="K11" s="1">
        <v>209</v>
      </c>
      <c r="L11" s="1">
        <v>229</v>
      </c>
      <c r="M11" s="1">
        <f>L11-K11</f>
        <v>20</v>
      </c>
      <c r="N11" s="1">
        <v>213</v>
      </c>
      <c r="O11" s="1">
        <v>357</v>
      </c>
      <c r="P11" s="3">
        <f>O11+O12</f>
        <v>651</v>
      </c>
      <c r="Q11" s="3">
        <f>P11/M11</f>
        <v>32.549999999999997</v>
      </c>
      <c r="S11" s="1">
        <v>427</v>
      </c>
      <c r="T11" s="1"/>
      <c r="U11" s="1"/>
      <c r="V11" s="1"/>
      <c r="W11" s="1"/>
      <c r="X11" s="1"/>
      <c r="Z11" s="1"/>
      <c r="AA11" s="1"/>
      <c r="AB11" s="1"/>
      <c r="AC11" s="1"/>
      <c r="AD11" s="1"/>
      <c r="AE11" s="1"/>
      <c r="AG11" s="1">
        <v>426</v>
      </c>
      <c r="AH11" s="1">
        <v>326</v>
      </c>
      <c r="AI11" s="1">
        <v>327</v>
      </c>
      <c r="AJ11" s="1">
        <f>AI11-AH11</f>
        <v>1</v>
      </c>
      <c r="AK11" s="1"/>
      <c r="AL11" s="1" t="s">
        <v>6</v>
      </c>
      <c r="AN11" s="1">
        <v>425</v>
      </c>
      <c r="AO11" s="1"/>
      <c r="AP11" s="1"/>
      <c r="AQ11" s="1"/>
      <c r="AR11" s="1"/>
      <c r="AS11" s="1"/>
      <c r="AU11" s="8"/>
      <c r="AV11" s="1"/>
      <c r="AW11" s="1"/>
      <c r="AX11" s="1"/>
      <c r="AY11" s="1">
        <v>453</v>
      </c>
      <c r="AZ11" s="1">
        <v>230</v>
      </c>
      <c r="BB11" s="8"/>
      <c r="BC11" s="1"/>
      <c r="BD11" s="1"/>
      <c r="BE11" s="1"/>
      <c r="BF11" s="1"/>
      <c r="BG11" s="1"/>
      <c r="BN11" s="8"/>
      <c r="BO11" s="1"/>
      <c r="BP11" s="1"/>
      <c r="BQ11" s="1"/>
      <c r="BR11" s="1"/>
      <c r="BS11" s="1"/>
    </row>
    <row r="12" spans="1:71" x14ac:dyDescent="0.35">
      <c r="A12" s="1">
        <v>431</v>
      </c>
      <c r="B12" s="1"/>
      <c r="C12" s="1"/>
      <c r="D12" s="1"/>
      <c r="E12" s="1"/>
      <c r="F12" s="1"/>
      <c r="J12" s="8"/>
      <c r="K12" s="1"/>
      <c r="L12" s="1"/>
      <c r="M12" s="1"/>
      <c r="N12" s="1">
        <v>223</v>
      </c>
      <c r="O12" s="1">
        <v>294</v>
      </c>
      <c r="S12" s="1">
        <v>429</v>
      </c>
      <c r="T12" s="1"/>
      <c r="U12" s="1"/>
      <c r="V12" s="1"/>
      <c r="W12" s="1"/>
      <c r="X12" s="1"/>
      <c r="Z12" s="1">
        <v>427</v>
      </c>
      <c r="AA12" s="1"/>
      <c r="AB12" s="1"/>
      <c r="AC12" s="1"/>
      <c r="AD12" s="1"/>
      <c r="AE12" s="1"/>
      <c r="AG12" s="1">
        <v>427</v>
      </c>
      <c r="AH12" s="1"/>
      <c r="AI12" s="1"/>
      <c r="AJ12" s="1"/>
      <c r="AK12" s="1"/>
      <c r="AL12" s="1"/>
      <c r="AN12" s="7">
        <v>426</v>
      </c>
      <c r="AO12" s="1">
        <v>327</v>
      </c>
      <c r="AP12" s="1">
        <v>346</v>
      </c>
      <c r="AQ12" s="1">
        <f>AP12-AO12</f>
        <v>19</v>
      </c>
      <c r="AR12" s="1">
        <v>330</v>
      </c>
      <c r="AS12" s="1">
        <v>300</v>
      </c>
      <c r="AU12" s="7">
        <v>425</v>
      </c>
      <c r="AV12" s="1">
        <v>332</v>
      </c>
      <c r="AW12" s="1">
        <v>351</v>
      </c>
      <c r="AX12" s="1">
        <f>AW12-AV12</f>
        <v>19</v>
      </c>
      <c r="AY12" s="1">
        <v>333</v>
      </c>
      <c r="AZ12" s="1">
        <v>382</v>
      </c>
      <c r="BB12" s="7">
        <v>425</v>
      </c>
      <c r="BC12" s="1">
        <v>351</v>
      </c>
      <c r="BD12" s="1">
        <v>367</v>
      </c>
      <c r="BE12" s="1">
        <f>BD12-BC12</f>
        <v>16</v>
      </c>
      <c r="BF12" s="1">
        <v>354</v>
      </c>
      <c r="BG12" s="1">
        <v>245</v>
      </c>
      <c r="BH12" s="3">
        <f>BG12+BG13</f>
        <v>465</v>
      </c>
      <c r="BI12" s="3">
        <f>(BG12+BG13)/BE12</f>
        <v>29.0625</v>
      </c>
      <c r="BN12" s="7">
        <v>425</v>
      </c>
      <c r="BO12" s="1"/>
      <c r="BP12" s="1"/>
      <c r="BQ12" s="1"/>
      <c r="BR12" s="1"/>
      <c r="BS12" s="1"/>
    </row>
    <row r="13" spans="1:71" x14ac:dyDescent="0.35">
      <c r="A13" s="1">
        <v>432</v>
      </c>
      <c r="B13" s="1">
        <v>165</v>
      </c>
      <c r="C13" s="1">
        <v>171</v>
      </c>
      <c r="D13" s="1">
        <f t="shared" si="0"/>
        <v>6</v>
      </c>
      <c r="E13" s="1">
        <v>169</v>
      </c>
      <c r="F13" s="1">
        <v>200</v>
      </c>
      <c r="J13" s="1">
        <v>427</v>
      </c>
      <c r="K13" s="1"/>
      <c r="L13" s="1"/>
      <c r="M13" s="1"/>
      <c r="N13" s="1"/>
      <c r="O13" s="1"/>
      <c r="S13" s="1">
        <v>431</v>
      </c>
      <c r="T13" s="1"/>
      <c r="U13" s="1"/>
      <c r="V13" s="1"/>
      <c r="W13" s="1"/>
      <c r="X13" s="1"/>
      <c r="Z13" s="1">
        <v>429</v>
      </c>
      <c r="AA13" s="1"/>
      <c r="AB13" s="1"/>
      <c r="AC13" s="1"/>
      <c r="AD13" s="1"/>
      <c r="AE13" s="1"/>
      <c r="AG13" s="1">
        <v>429</v>
      </c>
      <c r="AH13" s="1">
        <v>323</v>
      </c>
      <c r="AI13" s="1">
        <v>329</v>
      </c>
      <c r="AJ13" s="1">
        <f>AI13-AH13</f>
        <v>6</v>
      </c>
      <c r="AK13" s="1">
        <v>328</v>
      </c>
      <c r="AL13" s="1">
        <v>360</v>
      </c>
      <c r="AN13" s="8"/>
      <c r="AO13" s="1"/>
      <c r="AP13" s="1"/>
      <c r="AQ13" s="1"/>
      <c r="AR13" s="1">
        <v>339</v>
      </c>
      <c r="AS13" s="1">
        <v>210</v>
      </c>
      <c r="AU13" s="8"/>
      <c r="AV13" s="1"/>
      <c r="AW13" s="1"/>
      <c r="AX13" s="1"/>
      <c r="AY13" s="1">
        <v>345</v>
      </c>
      <c r="AZ13" s="1">
        <v>301</v>
      </c>
      <c r="BB13" s="8"/>
      <c r="BC13" s="1"/>
      <c r="BD13" s="1"/>
      <c r="BE13" s="1"/>
      <c r="BF13" s="1">
        <v>362</v>
      </c>
      <c r="BG13" s="1">
        <v>220</v>
      </c>
      <c r="BN13" s="8"/>
      <c r="BO13" s="1"/>
      <c r="BP13" s="1"/>
      <c r="BQ13" s="1"/>
      <c r="BR13" s="1"/>
      <c r="BS13" s="1"/>
    </row>
    <row r="14" spans="1:71" x14ac:dyDescent="0.35">
      <c r="A14" s="1">
        <v>433</v>
      </c>
      <c r="B14" s="1"/>
      <c r="C14" s="1"/>
      <c r="D14" s="1"/>
      <c r="E14" s="1"/>
      <c r="F14" s="1"/>
      <c r="J14" s="1">
        <v>429</v>
      </c>
      <c r="K14" s="1"/>
      <c r="L14" s="1"/>
      <c r="M14" s="1"/>
      <c r="N14" s="1"/>
      <c r="O14" s="1"/>
      <c r="S14" s="1">
        <v>432</v>
      </c>
      <c r="T14" s="1"/>
      <c r="U14" s="1"/>
      <c r="V14" s="1"/>
      <c r="W14" s="1"/>
      <c r="X14" s="1"/>
      <c r="Z14" s="1">
        <v>431</v>
      </c>
      <c r="AA14" s="1"/>
      <c r="AB14" s="1"/>
      <c r="AC14" s="1"/>
      <c r="AD14" s="1"/>
      <c r="AE14" s="1"/>
      <c r="AG14" s="1">
        <v>431</v>
      </c>
      <c r="AH14" s="1">
        <v>410</v>
      </c>
      <c r="AI14" s="1">
        <v>413</v>
      </c>
      <c r="AJ14" s="1">
        <f>AI14-AH14</f>
        <v>3</v>
      </c>
      <c r="AK14" s="1"/>
      <c r="AL14" s="1" t="s">
        <v>6</v>
      </c>
      <c r="AN14" s="7">
        <v>427</v>
      </c>
      <c r="AO14" s="1">
        <v>326</v>
      </c>
      <c r="AP14" s="1">
        <v>345</v>
      </c>
      <c r="AQ14" s="1">
        <f>AP14-AO14</f>
        <v>19</v>
      </c>
      <c r="AR14" s="1">
        <v>328</v>
      </c>
      <c r="AS14" s="1">
        <v>60</v>
      </c>
      <c r="AU14" s="7">
        <v>426</v>
      </c>
      <c r="AV14" s="1">
        <v>346</v>
      </c>
      <c r="AW14" s="1">
        <v>366</v>
      </c>
      <c r="AX14" s="1">
        <f>AW14-AV14</f>
        <v>20</v>
      </c>
      <c r="AY14" s="1">
        <v>350</v>
      </c>
      <c r="AZ14" s="1">
        <v>337</v>
      </c>
      <c r="BB14" s="7">
        <v>426</v>
      </c>
      <c r="BC14" s="1">
        <v>366</v>
      </c>
      <c r="BD14" s="1">
        <v>382</v>
      </c>
      <c r="BE14" s="1">
        <f>BD14-BC14</f>
        <v>16</v>
      </c>
      <c r="BF14" s="1">
        <v>369</v>
      </c>
      <c r="BG14" s="1">
        <v>185</v>
      </c>
      <c r="BH14" s="3">
        <f>BG14+BG15</f>
        <v>415</v>
      </c>
      <c r="BI14" s="3">
        <f>(BG14+BG15)/BE14</f>
        <v>25.9375</v>
      </c>
      <c r="BN14" s="7">
        <v>426</v>
      </c>
      <c r="BO14" s="1"/>
      <c r="BP14" s="1"/>
      <c r="BQ14" s="1"/>
      <c r="BR14" s="1"/>
      <c r="BS14" s="1"/>
    </row>
    <row r="15" spans="1:71" x14ac:dyDescent="0.35">
      <c r="J15" s="1">
        <v>431</v>
      </c>
      <c r="K15" s="1"/>
      <c r="L15" s="1"/>
      <c r="M15" s="1"/>
      <c r="N15" s="1"/>
      <c r="O15" s="1"/>
      <c r="S15" s="1">
        <v>433</v>
      </c>
      <c r="T15" s="1"/>
      <c r="U15" s="1"/>
      <c r="V15" s="1"/>
      <c r="W15" s="1"/>
      <c r="X15" s="1"/>
      <c r="Z15" s="1">
        <v>432</v>
      </c>
      <c r="AA15" s="1"/>
      <c r="AB15" s="1"/>
      <c r="AC15" s="1"/>
      <c r="AD15" s="1"/>
      <c r="AE15" s="1"/>
      <c r="AG15" s="1">
        <v>432</v>
      </c>
      <c r="AH15" s="1">
        <v>339</v>
      </c>
      <c r="AI15" s="1">
        <v>350</v>
      </c>
      <c r="AJ15" s="1">
        <f>AI15-AH15</f>
        <v>11</v>
      </c>
      <c r="AK15" s="1">
        <v>345</v>
      </c>
      <c r="AL15" s="1">
        <v>295</v>
      </c>
      <c r="AN15" s="8"/>
      <c r="AO15" s="1"/>
      <c r="AP15" s="1"/>
      <c r="AQ15" s="1"/>
      <c r="AR15" s="1">
        <v>338</v>
      </c>
      <c r="AS15" s="1">
        <v>150</v>
      </c>
      <c r="AU15" s="8"/>
      <c r="AV15" s="1"/>
      <c r="AW15" s="1"/>
      <c r="AX15" s="1"/>
      <c r="AY15" s="1">
        <v>359</v>
      </c>
      <c r="AZ15" s="1">
        <v>248</v>
      </c>
      <c r="BB15" s="8"/>
      <c r="BC15" s="1"/>
      <c r="BD15" s="1"/>
      <c r="BE15" s="1"/>
      <c r="BF15" s="1">
        <v>376</v>
      </c>
      <c r="BG15" s="1">
        <v>230</v>
      </c>
      <c r="BN15" s="8"/>
      <c r="BO15" s="1"/>
      <c r="BP15" s="1"/>
      <c r="BQ15" s="1"/>
      <c r="BR15" s="1"/>
      <c r="BS15" s="1"/>
    </row>
    <row r="16" spans="1:71" x14ac:dyDescent="0.35">
      <c r="J16" s="1">
        <v>432</v>
      </c>
      <c r="K16" s="1"/>
      <c r="L16" s="1"/>
      <c r="M16" s="1"/>
      <c r="N16" s="1"/>
      <c r="O16" s="1"/>
      <c r="Z16" s="1">
        <v>433</v>
      </c>
      <c r="AA16" s="1"/>
      <c r="AB16" s="1"/>
      <c r="AC16" s="1"/>
      <c r="AD16" s="1"/>
      <c r="AE16" s="1"/>
      <c r="AG16" s="1">
        <v>433</v>
      </c>
      <c r="AH16" s="1">
        <v>346</v>
      </c>
      <c r="AI16" s="1">
        <v>357</v>
      </c>
      <c r="AJ16" s="1">
        <f>AI16-AH16</f>
        <v>11</v>
      </c>
      <c r="AK16" s="1">
        <v>351</v>
      </c>
      <c r="AL16" s="1">
        <v>290</v>
      </c>
      <c r="AN16" s="7">
        <v>429</v>
      </c>
      <c r="AO16" s="1">
        <v>329</v>
      </c>
      <c r="AP16" s="1">
        <v>349</v>
      </c>
      <c r="AQ16" s="1">
        <f>AP16-AO16</f>
        <v>20</v>
      </c>
      <c r="AR16" s="1">
        <v>332</v>
      </c>
      <c r="AS16" s="1">
        <v>120</v>
      </c>
      <c r="AU16" s="7">
        <v>427</v>
      </c>
      <c r="AV16" s="1">
        <v>345</v>
      </c>
      <c r="AW16" s="1">
        <v>365</v>
      </c>
      <c r="AX16" s="1">
        <f>AW16-AV16</f>
        <v>20</v>
      </c>
      <c r="AY16" s="1">
        <v>349</v>
      </c>
      <c r="AZ16" s="1">
        <v>253</v>
      </c>
      <c r="BB16" s="7">
        <v>427</v>
      </c>
      <c r="BC16" s="1">
        <v>365</v>
      </c>
      <c r="BD16" s="1">
        <v>380</v>
      </c>
      <c r="BE16" s="1">
        <f>BD16-BC16</f>
        <v>15</v>
      </c>
      <c r="BF16" s="1">
        <v>367</v>
      </c>
      <c r="BG16" s="1">
        <v>314</v>
      </c>
      <c r="BH16" s="3">
        <f>BG16+BG17</f>
        <v>540</v>
      </c>
      <c r="BI16" s="3">
        <f>(BG16+BG17)/BE16</f>
        <v>36</v>
      </c>
      <c r="BN16" s="7">
        <v>427</v>
      </c>
      <c r="BO16" s="1"/>
      <c r="BP16" s="1"/>
      <c r="BQ16" s="1"/>
      <c r="BR16" s="1"/>
      <c r="BS16" s="1"/>
    </row>
    <row r="17" spans="1:71" x14ac:dyDescent="0.35">
      <c r="J17" s="1">
        <v>433</v>
      </c>
      <c r="K17" s="1"/>
      <c r="L17" s="1"/>
      <c r="M17" s="1"/>
      <c r="N17" s="1"/>
      <c r="O17" s="1"/>
      <c r="AN17" s="8"/>
      <c r="AO17" s="1"/>
      <c r="AP17" s="1"/>
      <c r="AQ17" s="1"/>
      <c r="AR17" s="1">
        <v>342</v>
      </c>
      <c r="AS17" s="1">
        <v>220</v>
      </c>
      <c r="AU17" s="8"/>
      <c r="AV17" s="1"/>
      <c r="AW17" s="1"/>
      <c r="AX17" s="1"/>
      <c r="AY17" s="1">
        <v>360</v>
      </c>
      <c r="AZ17" s="1">
        <v>142</v>
      </c>
      <c r="BB17" s="8"/>
      <c r="BC17" s="1"/>
      <c r="BD17" s="1"/>
      <c r="BE17" s="1"/>
      <c r="BF17" s="1">
        <v>375</v>
      </c>
      <c r="BG17" s="1">
        <v>226</v>
      </c>
      <c r="BN17" s="8"/>
      <c r="BO17" s="1"/>
      <c r="BP17" s="1"/>
      <c r="BQ17" s="1"/>
      <c r="BR17" s="1"/>
      <c r="BS17" s="1"/>
    </row>
    <row r="18" spans="1:71" x14ac:dyDescent="0.35">
      <c r="AN18" s="7">
        <v>431</v>
      </c>
      <c r="AO18" s="1">
        <v>413</v>
      </c>
      <c r="AP18" s="1">
        <v>432</v>
      </c>
      <c r="AQ18" s="1">
        <f>AP18-AO18</f>
        <v>19</v>
      </c>
      <c r="AR18" s="1">
        <v>415</v>
      </c>
      <c r="AS18" s="1">
        <v>320</v>
      </c>
      <c r="AU18" s="7">
        <v>429</v>
      </c>
      <c r="AV18" s="1">
        <v>349</v>
      </c>
      <c r="AW18" s="1">
        <v>369</v>
      </c>
      <c r="AX18" s="1">
        <f>AW18-AV18</f>
        <v>20</v>
      </c>
      <c r="AY18" s="1">
        <v>353</v>
      </c>
      <c r="AZ18" s="1">
        <v>260</v>
      </c>
      <c r="BB18" s="7">
        <v>429</v>
      </c>
      <c r="BC18" s="1">
        <v>369</v>
      </c>
      <c r="BD18" s="1">
        <v>385</v>
      </c>
      <c r="BE18" s="1">
        <f>BD18-BC18</f>
        <v>16</v>
      </c>
      <c r="BF18" s="1">
        <v>572</v>
      </c>
      <c r="BG18" s="1">
        <v>178</v>
      </c>
      <c r="BH18" s="3">
        <f>BG18+BG19</f>
        <v>408</v>
      </c>
      <c r="BI18" s="3">
        <f>(BG18+BG190)/BE18</f>
        <v>11.125</v>
      </c>
      <c r="BN18" s="7">
        <v>429</v>
      </c>
      <c r="BO18" s="1"/>
      <c r="BP18" s="1"/>
      <c r="BQ18" s="1"/>
      <c r="BR18" s="1"/>
      <c r="BS18" s="1"/>
    </row>
    <row r="19" spans="1:71" x14ac:dyDescent="0.35">
      <c r="AN19" s="8"/>
      <c r="AO19" s="1"/>
      <c r="AP19" s="1"/>
      <c r="AQ19" s="1"/>
      <c r="AR19" s="1">
        <v>426</v>
      </c>
      <c r="AS19" s="1">
        <v>360</v>
      </c>
      <c r="AU19" s="8"/>
      <c r="AV19" s="1"/>
      <c r="AW19" s="1"/>
      <c r="AX19" s="1"/>
      <c r="AY19" s="1">
        <v>362</v>
      </c>
      <c r="AZ19" s="1">
        <v>304</v>
      </c>
      <c r="BB19" s="8"/>
      <c r="BC19" s="1"/>
      <c r="BD19" s="1"/>
      <c r="BE19" s="1"/>
      <c r="BF19" s="1">
        <v>579</v>
      </c>
      <c r="BG19" s="1">
        <v>230</v>
      </c>
      <c r="BN19" s="8"/>
      <c r="BO19" s="1"/>
      <c r="BP19" s="1"/>
      <c r="BQ19" s="1"/>
      <c r="BR19" s="1"/>
      <c r="BS19" s="1"/>
    </row>
    <row r="20" spans="1:71" x14ac:dyDescent="0.35">
      <c r="AN20" s="7">
        <v>432</v>
      </c>
      <c r="AO20" s="1">
        <v>350</v>
      </c>
      <c r="AP20" s="1">
        <v>371</v>
      </c>
      <c r="AQ20" s="1">
        <f>AP20-AO20</f>
        <v>21</v>
      </c>
      <c r="AR20" s="1">
        <v>353</v>
      </c>
      <c r="AS20" s="1">
        <v>210</v>
      </c>
      <c r="AU20" s="7">
        <v>431</v>
      </c>
      <c r="AV20" s="1">
        <v>432</v>
      </c>
      <c r="AW20" s="1">
        <v>452</v>
      </c>
      <c r="AX20" s="1">
        <f>AW20-AV20</f>
        <v>20</v>
      </c>
      <c r="AY20" s="1">
        <v>436</v>
      </c>
      <c r="AZ20" s="1">
        <v>295</v>
      </c>
      <c r="BB20" s="7">
        <v>431</v>
      </c>
      <c r="BC20" s="1">
        <v>452</v>
      </c>
      <c r="BD20" s="1">
        <v>468</v>
      </c>
      <c r="BE20" s="1">
        <f>BD20-BC20</f>
        <v>16</v>
      </c>
      <c r="BF20" s="1">
        <v>456</v>
      </c>
      <c r="BG20" s="1">
        <v>251</v>
      </c>
      <c r="BH20" s="3">
        <f>BG20+BG21</f>
        <v>431</v>
      </c>
      <c r="BI20" s="3">
        <f>(BG20+BG21)/BE20</f>
        <v>26.9375</v>
      </c>
      <c r="BN20" s="7">
        <v>431</v>
      </c>
      <c r="BO20" s="1"/>
      <c r="BP20" s="1"/>
      <c r="BQ20" s="1"/>
      <c r="BR20" s="1"/>
      <c r="BS20" s="1"/>
    </row>
    <row r="21" spans="1:71" x14ac:dyDescent="0.35">
      <c r="AN21" s="8"/>
      <c r="AO21" s="1"/>
      <c r="AP21" s="1"/>
      <c r="AQ21" s="1"/>
      <c r="AR21" s="1">
        <v>363</v>
      </c>
      <c r="AS21" s="1">
        <v>250</v>
      </c>
      <c r="AU21" s="8"/>
      <c r="AV21" s="1"/>
      <c r="AW21" s="1"/>
      <c r="AX21" s="1"/>
      <c r="AY21" s="1">
        <v>446</v>
      </c>
      <c r="AZ21" s="1">
        <v>233</v>
      </c>
      <c r="BB21" s="8"/>
      <c r="BC21" s="1"/>
      <c r="BD21" s="1"/>
      <c r="BE21" s="1"/>
      <c r="BF21" s="1">
        <v>462</v>
      </c>
      <c r="BG21" s="1">
        <v>180</v>
      </c>
      <c r="BN21" s="8"/>
      <c r="BO21" s="1"/>
      <c r="BP21" s="1"/>
      <c r="BQ21" s="1"/>
      <c r="BR21" s="1"/>
      <c r="BS21" s="1"/>
    </row>
    <row r="22" spans="1:71" x14ac:dyDescent="0.35">
      <c r="AN22" s="1">
        <v>433</v>
      </c>
      <c r="AO22" s="1">
        <v>357</v>
      </c>
      <c r="AP22" s="1">
        <v>370</v>
      </c>
      <c r="AQ22" s="1">
        <f>AP22-AO22</f>
        <v>13</v>
      </c>
      <c r="AR22" s="1">
        <v>361</v>
      </c>
      <c r="AS22" s="1">
        <v>228</v>
      </c>
      <c r="AU22" s="1">
        <v>432</v>
      </c>
      <c r="AV22" s="1">
        <v>371</v>
      </c>
      <c r="AW22" s="1">
        <v>381</v>
      </c>
      <c r="AX22" s="1">
        <f>AW22-AV22</f>
        <v>10</v>
      </c>
      <c r="AY22" s="1">
        <v>376</v>
      </c>
      <c r="AZ22" s="1">
        <v>182</v>
      </c>
      <c r="BB22" s="7">
        <v>432</v>
      </c>
      <c r="BC22" s="1">
        <v>381</v>
      </c>
      <c r="BD22" s="1">
        <v>398</v>
      </c>
      <c r="BE22" s="1">
        <f>BD22-BC22</f>
        <v>17</v>
      </c>
      <c r="BF22" s="1">
        <v>384</v>
      </c>
      <c r="BG22" s="1">
        <v>328</v>
      </c>
      <c r="BH22" s="3">
        <f>BG22+BG23</f>
        <v>578</v>
      </c>
      <c r="BI22" s="3">
        <f>(BG22+BG23)/BE22</f>
        <v>34</v>
      </c>
      <c r="BN22" s="7">
        <v>432</v>
      </c>
      <c r="BO22" s="1"/>
      <c r="BP22" s="1"/>
      <c r="BQ22" s="1"/>
      <c r="BR22" s="1"/>
      <c r="BS22" s="1"/>
    </row>
    <row r="23" spans="1:71" x14ac:dyDescent="0.35">
      <c r="AU23" s="7">
        <v>433</v>
      </c>
      <c r="AV23" s="1">
        <v>370</v>
      </c>
      <c r="AW23" s="1">
        <v>388</v>
      </c>
      <c r="AX23" s="1">
        <f>AW23-AV23</f>
        <v>18</v>
      </c>
      <c r="AY23" s="1">
        <v>374</v>
      </c>
      <c r="AZ23" s="1">
        <v>332</v>
      </c>
      <c r="BB23" s="8"/>
      <c r="BC23" s="1"/>
      <c r="BD23" s="1"/>
      <c r="BE23" s="1"/>
      <c r="BF23" s="1">
        <v>392</v>
      </c>
      <c r="BG23" s="1">
        <v>250</v>
      </c>
      <c r="BN23" s="8"/>
      <c r="BO23" s="1"/>
      <c r="BP23" s="1"/>
      <c r="BQ23" s="1"/>
      <c r="BR23" s="1"/>
      <c r="BS23" s="1"/>
    </row>
    <row r="24" spans="1:71" x14ac:dyDescent="0.35">
      <c r="AU24" s="8"/>
      <c r="AV24" s="1"/>
      <c r="AW24" s="1"/>
      <c r="AX24" s="1"/>
      <c r="AY24" s="1">
        <v>383</v>
      </c>
      <c r="AZ24" s="1">
        <v>203</v>
      </c>
      <c r="BB24" s="7">
        <v>433</v>
      </c>
      <c r="BC24" s="1">
        <v>388</v>
      </c>
      <c r="BD24" s="1">
        <v>404</v>
      </c>
      <c r="BE24" s="1">
        <f>BD24-BC24</f>
        <v>16</v>
      </c>
      <c r="BF24" s="1">
        <v>391</v>
      </c>
      <c r="BG24" s="1">
        <v>203</v>
      </c>
      <c r="BH24" s="3">
        <f>BG24+BG25</f>
        <v>363</v>
      </c>
      <c r="BI24" s="3">
        <f>(BG24+BG25)/(BD24-BC24)</f>
        <v>22.6875</v>
      </c>
      <c r="BN24" s="7">
        <v>433</v>
      </c>
      <c r="BO24" s="1"/>
      <c r="BP24" s="1"/>
      <c r="BQ24" s="1"/>
      <c r="BR24" s="1"/>
      <c r="BS24" s="1"/>
    </row>
    <row r="25" spans="1:71" x14ac:dyDescent="0.35">
      <c r="BB25" s="8"/>
      <c r="BC25" s="1"/>
      <c r="BD25" s="1"/>
      <c r="BE25" s="1"/>
      <c r="BF25" s="1">
        <v>398</v>
      </c>
      <c r="BG25" s="1">
        <v>160</v>
      </c>
      <c r="BN25" s="8"/>
      <c r="BO25" s="1"/>
      <c r="BP25" s="1"/>
      <c r="BQ25" s="1"/>
      <c r="BR25" s="1"/>
      <c r="BS25" s="1"/>
    </row>
    <row r="28" spans="1:71" ht="29" x14ac:dyDescent="0.35">
      <c r="A28" s="1" t="s">
        <v>1</v>
      </c>
      <c r="B28" s="2" t="s">
        <v>8</v>
      </c>
    </row>
    <row r="29" spans="1:71" x14ac:dyDescent="0.35">
      <c r="A29" s="1">
        <v>416</v>
      </c>
      <c r="B29" s="1"/>
    </row>
    <row r="30" spans="1:71" x14ac:dyDescent="0.35">
      <c r="A30" s="1">
        <v>419</v>
      </c>
      <c r="B30" s="1"/>
    </row>
    <row r="31" spans="1:71" x14ac:dyDescent="0.35">
      <c r="A31" s="1">
        <v>420</v>
      </c>
      <c r="B31" s="1"/>
    </row>
    <row r="32" spans="1:71" x14ac:dyDescent="0.35">
      <c r="A32" s="1">
        <v>421</v>
      </c>
      <c r="B32" s="1"/>
    </row>
    <row r="33" spans="1:2" x14ac:dyDescent="0.35">
      <c r="A33" s="1">
        <v>424</v>
      </c>
      <c r="B33" s="1"/>
    </row>
    <row r="34" spans="1:2" x14ac:dyDescent="0.35">
      <c r="A34" s="1">
        <v>425</v>
      </c>
      <c r="B34" s="1"/>
    </row>
    <row r="35" spans="1:2" x14ac:dyDescent="0.35">
      <c r="A35" s="1">
        <v>426</v>
      </c>
      <c r="B35" s="1"/>
    </row>
    <row r="36" spans="1:2" x14ac:dyDescent="0.35">
      <c r="A36" s="1">
        <v>427</v>
      </c>
      <c r="B36" s="1"/>
    </row>
    <row r="37" spans="1:2" x14ac:dyDescent="0.35">
      <c r="A37" s="1">
        <v>429</v>
      </c>
      <c r="B37" s="1"/>
    </row>
    <row r="38" spans="1:2" x14ac:dyDescent="0.35">
      <c r="A38" s="1">
        <v>431</v>
      </c>
      <c r="B38" s="1"/>
    </row>
    <row r="39" spans="1:2" x14ac:dyDescent="0.35">
      <c r="A39" s="1">
        <v>432</v>
      </c>
      <c r="B39" s="1"/>
    </row>
    <row r="40" spans="1:2" x14ac:dyDescent="0.35">
      <c r="A40" s="1">
        <v>433</v>
      </c>
      <c r="B40" s="1"/>
    </row>
  </sheetData>
  <mergeCells count="55">
    <mergeCell ref="BB20:BB21"/>
    <mergeCell ref="BB24:BB25"/>
    <mergeCell ref="BB22:BB23"/>
    <mergeCell ref="BN1:BS1"/>
    <mergeCell ref="BN4:BN5"/>
    <mergeCell ref="BN6:BN7"/>
    <mergeCell ref="BN8:BN9"/>
    <mergeCell ref="BN10:BN11"/>
    <mergeCell ref="BN12:BN13"/>
    <mergeCell ref="BN14:BN15"/>
    <mergeCell ref="BN16:BN17"/>
    <mergeCell ref="BN18:BN19"/>
    <mergeCell ref="BN20:BN21"/>
    <mergeCell ref="BN22:BN23"/>
    <mergeCell ref="BN24:BN25"/>
    <mergeCell ref="AU23:AU24"/>
    <mergeCell ref="BB1:BG1"/>
    <mergeCell ref="BB4:BB5"/>
    <mergeCell ref="BB6:BB7"/>
    <mergeCell ref="BB8:BB9"/>
    <mergeCell ref="BB10:BB11"/>
    <mergeCell ref="BB12:BB13"/>
    <mergeCell ref="BB14:BB15"/>
    <mergeCell ref="BB16:BB17"/>
    <mergeCell ref="BB18:BB19"/>
    <mergeCell ref="AU18:AU19"/>
    <mergeCell ref="AU20:AU21"/>
    <mergeCell ref="AU8:AU9"/>
    <mergeCell ref="AU6:AU7"/>
    <mergeCell ref="AU12:AU13"/>
    <mergeCell ref="AU1:AZ1"/>
    <mergeCell ref="AU4:AU5"/>
    <mergeCell ref="AU10:AU11"/>
    <mergeCell ref="AU14:AU15"/>
    <mergeCell ref="AU16:AU17"/>
    <mergeCell ref="AN12:AN13"/>
    <mergeCell ref="AN14:AN15"/>
    <mergeCell ref="AN16:AN17"/>
    <mergeCell ref="J11:J12"/>
    <mergeCell ref="S1:X1"/>
    <mergeCell ref="S9:S10"/>
    <mergeCell ref="AN18:AN19"/>
    <mergeCell ref="AN20:AN21"/>
    <mergeCell ref="AG9:AG10"/>
    <mergeCell ref="AN1:AS1"/>
    <mergeCell ref="AN4:AN5"/>
    <mergeCell ref="AN7:AN8"/>
    <mergeCell ref="AN9:AN10"/>
    <mergeCell ref="AG1:AL1"/>
    <mergeCell ref="Z1:AE1"/>
    <mergeCell ref="Z6:Z7"/>
    <mergeCell ref="J1:O1"/>
    <mergeCell ref="A1:F1"/>
    <mergeCell ref="J4:J5"/>
    <mergeCell ref="J7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M-S-I</dc:creator>
  <cp:lastModifiedBy>Juli Yandi Rahman</cp:lastModifiedBy>
  <dcterms:created xsi:type="dcterms:W3CDTF">2025-02-20T07:06:39Z</dcterms:created>
  <dcterms:modified xsi:type="dcterms:W3CDTF">2025-03-03T13:45:20Z</dcterms:modified>
</cp:coreProperties>
</file>