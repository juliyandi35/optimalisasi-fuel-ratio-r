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75240225 (Optimalisasi Fuel Ratio)\"/>
    </mc:Choice>
  </mc:AlternateContent>
  <xr:revisionPtr revIDLastSave="0" documentId="13_ncr:1_{03AEAC0F-85A5-476C-8942-8FBBCEC12268}" xr6:coauthVersionLast="47" xr6:coauthVersionMax="47" xr10:uidLastSave="{00000000-0000-0000-0000-000000000000}"/>
  <bookViews>
    <workbookView xWindow="-110" yWindow="-110" windowWidth="19420" windowHeight="10300" activeTab="1" xr2:uid="{CF7C05B3-06FB-490F-89EB-550DE6408BC3}"/>
  </bookViews>
  <sheets>
    <sheet name="Produktifitas" sheetId="1" r:id="rId1"/>
    <sheet name="FR &amp; FBR" sheetId="2" r:id="rId2"/>
    <sheet name="Sheet1 (2)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15" i="2"/>
  <c r="BO53" i="5"/>
  <c r="BO24" i="5"/>
  <c r="BO51" i="5"/>
  <c r="BO22" i="5"/>
  <c r="BO49" i="5"/>
  <c r="BO20" i="5"/>
  <c r="BO47" i="5"/>
  <c r="BO18" i="5"/>
  <c r="BO45" i="5"/>
  <c r="BO16" i="5"/>
  <c r="BO43" i="5"/>
  <c r="BO14" i="5"/>
  <c r="BO41" i="5"/>
  <c r="BO12" i="5"/>
  <c r="BO39" i="5"/>
  <c r="BO10" i="5"/>
  <c r="BO37" i="5"/>
  <c r="BO8" i="5"/>
  <c r="BO35" i="5"/>
  <c r="BO6" i="5"/>
  <c r="BO33" i="5"/>
  <c r="BO4" i="5"/>
  <c r="BH53" i="5"/>
  <c r="BH24" i="5"/>
  <c r="BH51" i="5"/>
  <c r="BH22" i="5"/>
  <c r="BH49" i="5"/>
  <c r="BH20" i="5"/>
  <c r="BH47" i="5"/>
  <c r="BH18" i="5"/>
  <c r="BH45" i="5"/>
  <c r="BH16" i="5"/>
  <c r="BH43" i="5"/>
  <c r="BH14" i="5"/>
  <c r="BH41" i="5"/>
  <c r="BH12" i="5"/>
  <c r="BH39" i="5"/>
  <c r="BH10" i="5"/>
  <c r="BH37" i="5"/>
  <c r="BH8" i="5"/>
  <c r="BH35" i="5"/>
  <c r="BH6" i="5"/>
  <c r="BH33" i="5"/>
  <c r="BH4" i="5"/>
  <c r="AM52" i="5"/>
  <c r="AM51" i="5"/>
  <c r="AM22" i="5"/>
  <c r="AM48" i="5"/>
  <c r="AM47" i="5"/>
  <c r="AM18" i="5"/>
  <c r="AM45" i="5"/>
  <c r="AM16" i="5"/>
  <c r="AM42" i="5"/>
  <c r="AM40" i="5"/>
  <c r="AM39" i="5"/>
  <c r="AM10" i="5"/>
  <c r="AM37" i="5"/>
  <c r="AM8" i="5"/>
  <c r="AM34" i="5"/>
  <c r="AM33" i="5"/>
  <c r="AM4" i="5"/>
  <c r="Y52" i="5"/>
  <c r="Y51" i="5"/>
  <c r="Y22" i="5"/>
  <c r="Y48" i="5"/>
  <c r="Y47" i="5"/>
  <c r="Y18" i="5"/>
  <c r="Y45" i="5"/>
  <c r="Y16" i="5"/>
  <c r="Y43" i="5"/>
  <c r="Y14" i="5"/>
  <c r="Y40" i="5"/>
  <c r="Y39" i="5"/>
  <c r="Y10" i="5"/>
  <c r="Y37" i="5"/>
  <c r="Y8" i="5"/>
  <c r="Y34" i="5"/>
  <c r="Y33" i="5"/>
  <c r="Y4" i="5"/>
  <c r="R52" i="5"/>
  <c r="R51" i="5"/>
  <c r="R22" i="5"/>
  <c r="R48" i="5"/>
  <c r="R18" i="5"/>
  <c r="R44" i="5"/>
  <c r="R43" i="5"/>
  <c r="R14" i="5"/>
  <c r="R40" i="5"/>
  <c r="R38" i="5"/>
  <c r="R8" i="5"/>
  <c r="R34" i="5"/>
  <c r="R33" i="5"/>
  <c r="R4" i="5"/>
  <c r="K52" i="5"/>
  <c r="K51" i="5"/>
  <c r="K22" i="5"/>
  <c r="K48" i="5"/>
  <c r="K46" i="5"/>
  <c r="K45" i="5"/>
  <c r="K16" i="5"/>
  <c r="K43" i="5"/>
  <c r="K14" i="5"/>
  <c r="K40" i="5"/>
  <c r="K39" i="5"/>
  <c r="K10" i="5"/>
  <c r="K37" i="5"/>
  <c r="K8" i="5"/>
  <c r="K34" i="5"/>
  <c r="K33" i="5"/>
  <c r="K4" i="5"/>
  <c r="GD32" i="5" l="1"/>
  <c r="FW32" i="5"/>
  <c r="FP32" i="5"/>
  <c r="FI52" i="5"/>
  <c r="FI50" i="5"/>
  <c r="FI48" i="5"/>
  <c r="FI46" i="5"/>
  <c r="FI44" i="5"/>
  <c r="FI42" i="5"/>
  <c r="FI40" i="5"/>
  <c r="FI38" i="5"/>
  <c r="FI36" i="5"/>
  <c r="FI34" i="5"/>
  <c r="FI32" i="5"/>
  <c r="FB48" i="5"/>
  <c r="FB32" i="5"/>
  <c r="EU52" i="5"/>
  <c r="EU50" i="5"/>
  <c r="EU48" i="5"/>
  <c r="EU46" i="5"/>
  <c r="EU44" i="5"/>
  <c r="EU42" i="5"/>
  <c r="EU40" i="5"/>
  <c r="EU38" i="5"/>
  <c r="EU36" i="5"/>
  <c r="EU34" i="5"/>
  <c r="EU32" i="5"/>
  <c r="EN52" i="5"/>
  <c r="EN50" i="5"/>
  <c r="EN46" i="5"/>
  <c r="EN44" i="5"/>
  <c r="EN42" i="5"/>
  <c r="EN40" i="5"/>
  <c r="EN38" i="5"/>
  <c r="EN36" i="5"/>
  <c r="EN34" i="5"/>
  <c r="EN32" i="5"/>
  <c r="EG32" i="5"/>
  <c r="DZ32" i="5"/>
  <c r="CQ39" i="5" l="1"/>
  <c r="CQ10" i="5"/>
  <c r="CQ52" i="5"/>
  <c r="CQ50" i="5"/>
  <c r="CQ48" i="5"/>
  <c r="CQ46" i="5"/>
  <c r="CQ44" i="5"/>
  <c r="CQ42" i="5"/>
  <c r="CQ40" i="5"/>
  <c r="CQ36" i="5"/>
  <c r="CQ34" i="5"/>
  <c r="CQ32" i="5"/>
  <c r="CJ22" i="5"/>
  <c r="CC7" i="5"/>
  <c r="CC34" i="5"/>
  <c r="CC12" i="5"/>
  <c r="CC24" i="5"/>
  <c r="CC22" i="5"/>
  <c r="CC20" i="5"/>
  <c r="CC18" i="5"/>
  <c r="CC16" i="5"/>
  <c r="CC14" i="5"/>
  <c r="CC10" i="5"/>
  <c r="CC8" i="5"/>
  <c r="CC4" i="5"/>
  <c r="BV24" i="5"/>
  <c r="BV22" i="5"/>
  <c r="BV20" i="5"/>
  <c r="BV18" i="5"/>
  <c r="BV44" i="5"/>
  <c r="BV14" i="5"/>
  <c r="BV12" i="5"/>
  <c r="BV10" i="5"/>
  <c r="BV8" i="5"/>
  <c r="BV34" i="5"/>
  <c r="BV4" i="5"/>
  <c r="BA53" i="5"/>
  <c r="BA24" i="5"/>
  <c r="BA51" i="5"/>
  <c r="BA22" i="5"/>
  <c r="BA49" i="5"/>
  <c r="BA20" i="5"/>
  <c r="BA47" i="5"/>
  <c r="BA18" i="5"/>
  <c r="BA45" i="5"/>
  <c r="BA16" i="5"/>
  <c r="BA43" i="5"/>
  <c r="BA14" i="5"/>
  <c r="BA41" i="5"/>
  <c r="BA12" i="5"/>
  <c r="BA39" i="5"/>
  <c r="BA10" i="5"/>
  <c r="BA8" i="5"/>
  <c r="BA35" i="5"/>
  <c r="BA6" i="5"/>
  <c r="BA4" i="5"/>
  <c r="AT52" i="5"/>
  <c r="AT51" i="5"/>
  <c r="AT22" i="5"/>
  <c r="AT48" i="5"/>
  <c r="AT47" i="5"/>
  <c r="AT18" i="5"/>
  <c r="AT45" i="5"/>
  <c r="AT16" i="5"/>
  <c r="AT14" i="5"/>
  <c r="AT41" i="5"/>
  <c r="AT12" i="5"/>
  <c r="AT39" i="5"/>
  <c r="AT10" i="5"/>
  <c r="AT37" i="5"/>
  <c r="AT8" i="5"/>
  <c r="AT33" i="5"/>
  <c r="AT35" i="5"/>
  <c r="AT6" i="5"/>
  <c r="AT4" i="5"/>
  <c r="AF52" i="5"/>
  <c r="AF51" i="5"/>
  <c r="AF48" i="5"/>
  <c r="AF46" i="5"/>
  <c r="AF18" i="5"/>
  <c r="AF39" i="5"/>
  <c r="AF34" i="5"/>
  <c r="AF22" i="5"/>
  <c r="AF44" i="5"/>
  <c r="AF16" i="5"/>
  <c r="AF14" i="5"/>
  <c r="AF10" i="5"/>
  <c r="AF8" i="5"/>
  <c r="AF4" i="5"/>
  <c r="D8" i="5"/>
  <c r="D52" i="5"/>
  <c r="D48" i="5"/>
  <c r="D46" i="5"/>
  <c r="D40" i="5"/>
  <c r="D34" i="5"/>
  <c r="D32" i="5"/>
  <c r="D22" i="5"/>
  <c r="D16" i="5"/>
  <c r="D14" i="5"/>
  <c r="D10" i="5"/>
  <c r="D4" i="5"/>
  <c r="FW6" i="5" l="1"/>
  <c r="GD24" i="5"/>
  <c r="GD22" i="5"/>
  <c r="GD20" i="5"/>
  <c r="GD18" i="5"/>
  <c r="GD16" i="5"/>
  <c r="GD14" i="5"/>
  <c r="GD12" i="5"/>
  <c r="GD10" i="5"/>
  <c r="GD8" i="5"/>
  <c r="GD6" i="5"/>
  <c r="FW24" i="5"/>
  <c r="FW22" i="5"/>
  <c r="FW20" i="5"/>
  <c r="FW18" i="5"/>
  <c r="FW16" i="5"/>
  <c r="FW14" i="5"/>
  <c r="FW12" i="5"/>
  <c r="FW10" i="5"/>
  <c r="FW8" i="5"/>
  <c r="FP24" i="5"/>
  <c r="FP22" i="5"/>
  <c r="FP20" i="5"/>
  <c r="FP18" i="5"/>
  <c r="FP16" i="5"/>
  <c r="FP14" i="5"/>
  <c r="FP12" i="5"/>
  <c r="FP10" i="5"/>
  <c r="FP8" i="5"/>
  <c r="FP6" i="5"/>
  <c r="FB24" i="5"/>
  <c r="FB22" i="5"/>
  <c r="FB18" i="5"/>
  <c r="FB16" i="5"/>
  <c r="FB14" i="5"/>
  <c r="FB12" i="5"/>
  <c r="FB10" i="5"/>
  <c r="FB8" i="5"/>
  <c r="FB6" i="5"/>
  <c r="EN20" i="5"/>
  <c r="EG24" i="5"/>
  <c r="EG22" i="5"/>
  <c r="EG20" i="5"/>
  <c r="EG18" i="5"/>
  <c r="EG16" i="5"/>
  <c r="EG14" i="5"/>
  <c r="EG12" i="5"/>
  <c r="EG10" i="5"/>
  <c r="EG8" i="5"/>
  <c r="EG6" i="5"/>
  <c r="DZ24" i="5"/>
  <c r="DZ22" i="5"/>
  <c r="DZ20" i="5"/>
  <c r="DZ18" i="5"/>
  <c r="DZ16" i="5"/>
  <c r="DZ14" i="5"/>
  <c r="DZ12" i="5"/>
  <c r="DZ10" i="5"/>
  <c r="DZ8" i="5"/>
  <c r="DZ6" i="5"/>
  <c r="DS24" i="5"/>
  <c r="DS22" i="5"/>
  <c r="DS20" i="5"/>
  <c r="DS18" i="5"/>
  <c r="DS16" i="5"/>
  <c r="DS14" i="5"/>
  <c r="DS12" i="5"/>
  <c r="DS10" i="5"/>
  <c r="DS8" i="5"/>
  <c r="DS6" i="5"/>
  <c r="DS4" i="5"/>
  <c r="DL24" i="5"/>
  <c r="DL22" i="5"/>
  <c r="DL20" i="5"/>
  <c r="DL18" i="5"/>
  <c r="DL16" i="5"/>
  <c r="DL14" i="5"/>
  <c r="DL12" i="5"/>
  <c r="DL10" i="5"/>
  <c r="DL8" i="5"/>
  <c r="DL6" i="5"/>
  <c r="DL4" i="5"/>
  <c r="DE4" i="5"/>
  <c r="DE6" i="5"/>
  <c r="DE8" i="5"/>
  <c r="DE10" i="5"/>
  <c r="DE12" i="5"/>
  <c r="DE14" i="5"/>
  <c r="DE16" i="5"/>
  <c r="DE18" i="5"/>
  <c r="DE20" i="5"/>
  <c r="DE22" i="5"/>
  <c r="DE24" i="5"/>
  <c r="CX24" i="5"/>
  <c r="CX22" i="5"/>
  <c r="CX20" i="5"/>
  <c r="CX18" i="5"/>
  <c r="CX16" i="5"/>
  <c r="CX14" i="5"/>
  <c r="CX12" i="5"/>
  <c r="CX10" i="5"/>
  <c r="CX8" i="5"/>
  <c r="CX6" i="5"/>
  <c r="CX4" i="5"/>
  <c r="BC40" i="1"/>
  <c r="BB40" i="1"/>
  <c r="BA40" i="1"/>
  <c r="BC37" i="1"/>
  <c r="BB37" i="1"/>
  <c r="BA37" i="1"/>
  <c r="BD37" i="1" s="1"/>
  <c r="BC34" i="1"/>
  <c r="BB34" i="1"/>
  <c r="BA34" i="1"/>
  <c r="BD34" i="1" s="1"/>
  <c r="BC31" i="1"/>
  <c r="BB31" i="1"/>
  <c r="BA31" i="1"/>
  <c r="BC28" i="1"/>
  <c r="BB28" i="1"/>
  <c r="BA28" i="1"/>
  <c r="BC25" i="1"/>
  <c r="BB25" i="1"/>
  <c r="BA25" i="1"/>
  <c r="BC22" i="1"/>
  <c r="BB22" i="1"/>
  <c r="BA22" i="1"/>
  <c r="BC19" i="1"/>
  <c r="BB19" i="1"/>
  <c r="BA19" i="1"/>
  <c r="BC16" i="1"/>
  <c r="BB16" i="1"/>
  <c r="BA16" i="1"/>
  <c r="BC13" i="1"/>
  <c r="BB13" i="1"/>
  <c r="BA13" i="1"/>
  <c r="BC10" i="1"/>
  <c r="BB10" i="1"/>
  <c r="BA10" i="1"/>
  <c r="BC7" i="1"/>
  <c r="BB7" i="1"/>
  <c r="BA7" i="1"/>
  <c r="G3" i="2"/>
  <c r="AN40" i="1"/>
  <c r="AM40" i="1"/>
  <c r="AL40" i="1"/>
  <c r="AO40" i="1" s="1"/>
  <c r="AP40" i="1" s="1"/>
  <c r="AN37" i="1"/>
  <c r="AM37" i="1"/>
  <c r="AL37" i="1"/>
  <c r="AO37" i="1" s="1"/>
  <c r="AP37" i="1" s="1"/>
  <c r="AN34" i="1"/>
  <c r="AM34" i="1"/>
  <c r="AL34" i="1"/>
  <c r="AO34" i="1" s="1"/>
  <c r="AP34" i="1" s="1"/>
  <c r="AN31" i="1"/>
  <c r="AM31" i="1"/>
  <c r="AL31" i="1"/>
  <c r="AN28" i="1"/>
  <c r="AM28" i="1"/>
  <c r="AL28" i="1"/>
  <c r="AO28" i="1" s="1"/>
  <c r="AP28" i="1" s="1"/>
  <c r="AN25" i="1"/>
  <c r="AM25" i="1"/>
  <c r="AL25" i="1"/>
  <c r="AN22" i="1"/>
  <c r="AM22" i="1"/>
  <c r="AL22" i="1"/>
  <c r="AN19" i="1"/>
  <c r="AM19" i="1"/>
  <c r="AL19" i="1"/>
  <c r="AO19" i="1" s="1"/>
  <c r="AP19" i="1" s="1"/>
  <c r="AN16" i="1"/>
  <c r="AM16" i="1"/>
  <c r="AL16" i="1"/>
  <c r="AN13" i="1"/>
  <c r="AM13" i="1"/>
  <c r="AL13" i="1"/>
  <c r="AN10" i="1"/>
  <c r="AM10" i="1"/>
  <c r="AL10" i="1"/>
  <c r="AN7" i="1"/>
  <c r="AM7" i="1"/>
  <c r="AL7" i="1"/>
  <c r="G12" i="2"/>
  <c r="H12" i="2" s="1"/>
  <c r="CJ4" i="5"/>
  <c r="CQ4" i="5"/>
  <c r="CJ6" i="5"/>
  <c r="CQ6" i="5"/>
  <c r="CJ8" i="5"/>
  <c r="CQ8" i="5"/>
  <c r="CJ10" i="5"/>
  <c r="CJ12" i="5"/>
  <c r="CQ12" i="5"/>
  <c r="CJ14" i="5"/>
  <c r="CQ14" i="5"/>
  <c r="CJ16" i="5"/>
  <c r="CQ16" i="5"/>
  <c r="CJ18" i="5"/>
  <c r="CQ18" i="5"/>
  <c r="CJ20" i="5"/>
  <c r="CQ20" i="5"/>
  <c r="CQ22" i="5"/>
  <c r="CJ24" i="5"/>
  <c r="CQ24" i="5"/>
  <c r="G9" i="2"/>
  <c r="H9" i="2" s="1"/>
  <c r="G13" i="2"/>
  <c r="H13" i="2" s="1"/>
  <c r="G5" i="2"/>
  <c r="H5" i="2" s="1"/>
  <c r="G10" i="2"/>
  <c r="H10" i="2" s="1"/>
  <c r="G8" i="2"/>
  <c r="H8" i="2" s="1"/>
  <c r="G11" i="2"/>
  <c r="H11" i="2" s="1"/>
  <c r="G7" i="2"/>
  <c r="H7" i="2" s="1"/>
  <c r="G6" i="2"/>
  <c r="H6" i="2" s="1"/>
  <c r="G4" i="2"/>
  <c r="H4" i="2" s="1"/>
  <c r="G14" i="2"/>
  <c r="H14" i="2" s="1"/>
  <c r="BD40" i="1" l="1"/>
  <c r="BD31" i="1"/>
  <c r="BD28" i="1"/>
  <c r="BD25" i="1"/>
  <c r="BD22" i="1"/>
  <c r="BD19" i="1"/>
  <c r="BD16" i="1"/>
  <c r="BD13" i="1"/>
  <c r="BD10" i="1"/>
  <c r="BD7" i="1"/>
  <c r="AO31" i="1"/>
  <c r="AP31" i="1" s="1"/>
  <c r="AO16" i="1"/>
  <c r="AP16" i="1" s="1"/>
  <c r="AO22" i="1"/>
  <c r="AP22" i="1" s="1"/>
  <c r="AO13" i="1"/>
  <c r="AP13" i="1" s="1"/>
  <c r="AO7" i="1"/>
  <c r="AP7" i="1" s="1"/>
  <c r="AO10" i="1"/>
  <c r="AP10" i="1" s="1"/>
  <c r="AO25" i="1"/>
  <c r="AP25" i="1" s="1"/>
  <c r="L41" i="1"/>
  <c r="K40" i="1"/>
  <c r="J39" i="1"/>
  <c r="J36" i="1"/>
  <c r="L38" i="1"/>
  <c r="K37" i="1"/>
  <c r="BD43" i="1" l="1"/>
  <c r="AP43" i="1"/>
  <c r="AO43" i="1"/>
  <c r="M39" i="1"/>
  <c r="N39" i="1" s="1"/>
  <c r="M36" i="1"/>
  <c r="N36" i="1" s="1"/>
  <c r="L35" i="1" l="1"/>
  <c r="K34" i="1"/>
  <c r="J33" i="1"/>
  <c r="L32" i="1"/>
  <c r="K31" i="1"/>
  <c r="J30" i="1"/>
  <c r="L29" i="1"/>
  <c r="K28" i="1"/>
  <c r="J27" i="1"/>
  <c r="L26" i="1"/>
  <c r="K25" i="1"/>
  <c r="J24" i="1"/>
  <c r="L23" i="1"/>
  <c r="K22" i="1"/>
  <c r="J21" i="1"/>
  <c r="L20" i="1"/>
  <c r="K19" i="1"/>
  <c r="J18" i="1"/>
  <c r="L17" i="1"/>
  <c r="K16" i="1"/>
  <c r="J15" i="1"/>
  <c r="L14" i="1"/>
  <c r="K13" i="1"/>
  <c r="J12" i="1"/>
  <c r="L11" i="1"/>
  <c r="K10" i="1"/>
  <c r="J9" i="1"/>
  <c r="L8" i="1"/>
  <c r="K7" i="1"/>
  <c r="J6" i="1"/>
  <c r="M15" i="1" l="1"/>
  <c r="N15" i="1" s="1"/>
  <c r="M30" i="1"/>
  <c r="N30" i="1" s="1"/>
  <c r="M9" i="1"/>
  <c r="N9" i="1" s="1"/>
  <c r="M27" i="1"/>
  <c r="N27" i="1" s="1"/>
  <c r="M33" i="1"/>
  <c r="N33" i="1" s="1"/>
  <c r="M6" i="1"/>
  <c r="N6" i="1" s="1"/>
  <c r="M21" i="1"/>
  <c r="N21" i="1" s="1"/>
  <c r="M18" i="1"/>
  <c r="M24" i="1"/>
  <c r="N24" i="1" s="1"/>
  <c r="M12" i="1"/>
  <c r="N18" i="1" l="1"/>
  <c r="M42" i="1"/>
  <c r="N12" i="1"/>
  <c r="N42" i="1" l="1"/>
</calcChain>
</file>

<file path=xl/sharedStrings.xml><?xml version="1.0" encoding="utf-8"?>
<sst xmlns="http://schemas.openxmlformats.org/spreadsheetml/2006/main" count="403" uniqueCount="54">
  <si>
    <t>Alat Angkut</t>
  </si>
  <si>
    <t>Waktu (menit)</t>
  </si>
  <si>
    <t>Manuver Kosong</t>
  </si>
  <si>
    <t>Pemuatan</t>
  </si>
  <si>
    <t>Angkut bermuatan</t>
  </si>
  <si>
    <t>Mengambil Posisi Untuk Penumpahan</t>
  </si>
  <si>
    <t>Dumping</t>
  </si>
  <si>
    <t>Kembali (Kosong)</t>
  </si>
  <si>
    <t>ADT 431</t>
  </si>
  <si>
    <t>Rata-Rata (menit)</t>
  </si>
  <si>
    <t>ADT 433</t>
  </si>
  <si>
    <t>Pengamatan</t>
  </si>
  <si>
    <t>ADT 419</t>
  </si>
  <si>
    <t>ADT 421</t>
  </si>
  <si>
    <t>ADT 424</t>
  </si>
  <si>
    <t>ADT 425</t>
  </si>
  <si>
    <t>ADT 427</t>
  </si>
  <si>
    <t>ADT 420</t>
  </si>
  <si>
    <t>ADT 432</t>
  </si>
  <si>
    <t>NO</t>
  </si>
  <si>
    <t>Pengamatan Pekan Pertama (Bulan Februari)</t>
  </si>
  <si>
    <t>10/02/2025 - 15 Februari 2025</t>
  </si>
  <si>
    <t>ADT 429</t>
  </si>
  <si>
    <t>Produksi Aktual (bcm/jam)</t>
  </si>
  <si>
    <t>Waktu rata-rata cycle time</t>
  </si>
  <si>
    <t>FF</t>
  </si>
  <si>
    <t>Jenis Unit</t>
  </si>
  <si>
    <t>No. Lambung</t>
  </si>
  <si>
    <t>Produktivitas (BCM/jam)</t>
  </si>
  <si>
    <t>ADT VOLVO</t>
  </si>
  <si>
    <t>ADT 426</t>
  </si>
  <si>
    <t>ADT 416</t>
  </si>
  <si>
    <t>Jarak HPL Puncak ke ILS/PLS (m)</t>
  </si>
  <si>
    <t>Start Hm</t>
  </si>
  <si>
    <t>End Hm</t>
  </si>
  <si>
    <t>Variance</t>
  </si>
  <si>
    <t>Produksi rata-rata perjam</t>
  </si>
  <si>
    <t>Kapasitas heaped Volvo A60H (m³)</t>
  </si>
  <si>
    <t>Pass excavator</t>
  </si>
  <si>
    <t>SF Material</t>
  </si>
  <si>
    <t>Produktifitas (bcm/jam)</t>
  </si>
  <si>
    <t>Rata-rata cycyle time (jam)</t>
  </si>
  <si>
    <t>ADT</t>
  </si>
  <si>
    <t>full</t>
  </si>
  <si>
    <t>Liter</t>
  </si>
  <si>
    <t>HM/KM</t>
  </si>
  <si>
    <t>Total Hours</t>
  </si>
  <si>
    <t>End HM</t>
  </si>
  <si>
    <t>Start HM</t>
  </si>
  <si>
    <t>Data Jarak</t>
  </si>
  <si>
    <t>Tgl</t>
  </si>
  <si>
    <t>Produktivitas Aktual Alat Angkut</t>
  </si>
  <si>
    <t>Cycle time fix</t>
  </si>
  <si>
    <t>Cycle time yang terjadi pada sat pengamatan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</si>
</sst>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  <font>
      <sz val="11"/>
      <color theme="1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5" borderId="0" xfId="0" applyFont="1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5" borderId="0" xfId="0" applyNumberFormat="1" applyFont="1" applyFill="1"/>
    <xf numFmtId="2" fontId="1" fillId="8" borderId="0" xfId="0" applyNumberFormat="1" applyFont="1" applyFill="1"/>
    <xf numFmtId="0" fontId="1" fillId="8" borderId="0" xfId="0" applyFont="1" applyFill="1"/>
    <xf numFmtId="0" fontId="1" fillId="0" borderId="0" xfId="0" applyFont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1" fillId="10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9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174111</xdr:colOff>
      <xdr:row>2</xdr:row>
      <xdr:rowOff>163285</xdr:rowOff>
    </xdr:from>
    <xdr:to>
      <xdr:col>24</xdr:col>
      <xdr:colOff>364199</xdr:colOff>
      <xdr:row>27</xdr:row>
      <xdr:rowOff>81134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1B715E-FE6C-4643-8675-0AEAB8D67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50768" y="511628"/>
          <a:ext cx="6286088" cy="44047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1</xdr:row>
      <xdr:rowOff>0</xdr:rowOff>
    </xdr:from>
    <xdr:to>
      <xdr:col>19</xdr:col>
      <xdr:colOff>76199</xdr:colOff>
      <xdr:row>26</xdr:row>
      <xdr:rowOff>137436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FE62EA-7FBD-44C2-9124-B2148B43C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8371" y="185057"/>
          <a:ext cx="6281057" cy="629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6D15-7965-4E91-A008-3E1C9CDE912A}">
  <dimension ref="A1:BD45"/>
  <sheetViews>
    <sheetView topLeftCell="J1" zoomScale="70" zoomScaleNormal="70" workbookViewId="0">
      <selection activeCell="AP7" sqref="AP7:AP9"/>
    </sheetView>
  </sheetViews>
  <sheetFormatPr defaultColWidth="8.90625" defaultRowHeight="14" x14ac:dyDescent="0.3"/>
  <cols>
    <col min="1" max="1" width="8.90625" style="2"/>
    <col min="2" max="2" width="11.6328125" style="2" bestFit="1" customWidth="1"/>
    <col min="3" max="3" width="12.1796875" style="2" bestFit="1" customWidth="1"/>
    <col min="4" max="4" width="10.54296875" style="2" customWidth="1"/>
    <col min="5" max="5" width="8.90625" style="2"/>
    <col min="6" max="6" width="12.54296875" style="2" customWidth="1"/>
    <col min="7" max="7" width="17.453125" style="2" customWidth="1"/>
    <col min="8" max="8" width="9.54296875" style="2" bestFit="1" customWidth="1"/>
    <col min="9" max="12" width="8.90625" style="2"/>
    <col min="13" max="13" width="9.6328125" style="2" customWidth="1"/>
    <col min="14" max="14" width="9.54296875" style="2" customWidth="1"/>
    <col min="15" max="27" width="8.90625" style="2"/>
    <col min="28" max="28" width="12" style="2" bestFit="1" customWidth="1"/>
    <col min="29" max="29" width="12.1796875" style="2" bestFit="1" customWidth="1"/>
    <col min="30" max="30" width="12" style="2" bestFit="1" customWidth="1"/>
    <col min="31" max="31" width="12.1796875" style="2" bestFit="1" customWidth="1"/>
    <col min="32" max="32" width="9.453125" style="2" customWidth="1"/>
    <col min="33" max="33" width="10.90625" style="2" customWidth="1"/>
    <col min="34" max="34" width="11.453125" style="2" customWidth="1"/>
    <col min="35" max="35" width="8.90625" style="2"/>
    <col min="36" max="36" width="9.453125" style="2" customWidth="1"/>
    <col min="37" max="41" width="8.90625" style="2"/>
    <col min="42" max="42" width="9.6328125" style="2" customWidth="1"/>
    <col min="43" max="43" width="8.90625" style="2"/>
    <col min="44" max="44" width="9.81640625" style="2" customWidth="1"/>
    <col min="45" max="46" width="12.1796875" style="2" bestFit="1" customWidth="1"/>
    <col min="47" max="47" width="11" style="2" bestFit="1" customWidth="1"/>
    <col min="48" max="48" width="12.08984375" style="2" customWidth="1"/>
    <col min="49" max="49" width="8.90625" style="2"/>
    <col min="50" max="50" width="13.1796875" style="2" customWidth="1"/>
    <col min="51" max="51" width="9.54296875" style="2" customWidth="1"/>
    <col min="52" max="52" width="10" style="2" customWidth="1"/>
    <col min="53" max="54" width="7.08984375" style="2" customWidth="1"/>
    <col min="55" max="55" width="7.453125" style="2" customWidth="1"/>
    <col min="56" max="56" width="9.453125" style="2" customWidth="1"/>
    <col min="57" max="16384" width="8.90625" style="2"/>
  </cols>
  <sheetData>
    <row r="1" spans="1:56" x14ac:dyDescent="0.3">
      <c r="A1" s="6"/>
      <c r="B1" s="6"/>
      <c r="C1" s="6"/>
      <c r="D1" s="6"/>
      <c r="E1" s="43" t="s">
        <v>20</v>
      </c>
      <c r="F1" s="43"/>
      <c r="G1" s="43"/>
      <c r="H1" s="43"/>
      <c r="I1" s="43"/>
      <c r="J1" s="43"/>
      <c r="K1" s="43"/>
      <c r="L1" s="6"/>
      <c r="M1" s="6"/>
      <c r="N1" s="6"/>
    </row>
    <row r="2" spans="1:56" x14ac:dyDescent="0.3">
      <c r="A2" s="6"/>
      <c r="B2" s="6"/>
      <c r="C2" s="6"/>
      <c r="D2" s="6"/>
      <c r="E2" s="43" t="s">
        <v>21</v>
      </c>
      <c r="F2" s="43"/>
      <c r="G2" s="43"/>
      <c r="H2" s="43"/>
      <c r="I2" s="43"/>
      <c r="J2" s="43"/>
      <c r="K2" s="43"/>
      <c r="L2" s="6"/>
      <c r="M2" s="6"/>
      <c r="N2" s="6"/>
    </row>
    <row r="3" spans="1:56" ht="25.5" x14ac:dyDescent="0.55000000000000004">
      <c r="A3" s="36" t="s">
        <v>19</v>
      </c>
      <c r="B3" s="37" t="s">
        <v>0</v>
      </c>
      <c r="C3" s="37" t="s">
        <v>50</v>
      </c>
      <c r="D3" s="36" t="s">
        <v>1</v>
      </c>
      <c r="E3" s="36"/>
      <c r="F3" s="36"/>
      <c r="G3" s="36"/>
      <c r="H3" s="36"/>
      <c r="I3" s="36"/>
      <c r="J3" s="36" t="s">
        <v>11</v>
      </c>
      <c r="K3" s="36"/>
      <c r="L3" s="36"/>
      <c r="M3" s="1"/>
      <c r="N3" s="35" t="s">
        <v>23</v>
      </c>
      <c r="AD3" s="47" t="s">
        <v>52</v>
      </c>
      <c r="AE3" s="47"/>
      <c r="AF3" s="47"/>
      <c r="AG3" s="47"/>
      <c r="AH3" s="47"/>
      <c r="AI3" s="47"/>
      <c r="AJ3" s="47"/>
      <c r="AK3" s="47"/>
      <c r="AL3" s="47"/>
      <c r="AT3" s="48" t="s">
        <v>53</v>
      </c>
      <c r="AU3" s="48"/>
      <c r="AV3" s="48"/>
      <c r="AW3" s="48"/>
      <c r="AX3" s="48"/>
      <c r="AY3" s="48"/>
      <c r="AZ3" s="48"/>
    </row>
    <row r="4" spans="1:56" x14ac:dyDescent="0.3">
      <c r="A4" s="36"/>
      <c r="B4" s="38"/>
      <c r="C4" s="38"/>
      <c r="D4" s="35" t="s">
        <v>2</v>
      </c>
      <c r="E4" s="36" t="s">
        <v>3</v>
      </c>
      <c r="F4" s="35" t="s">
        <v>4</v>
      </c>
      <c r="G4" s="35" t="s">
        <v>5</v>
      </c>
      <c r="H4" s="35" t="s">
        <v>6</v>
      </c>
      <c r="I4" s="35" t="s">
        <v>7</v>
      </c>
      <c r="J4" s="36">
        <v>1</v>
      </c>
      <c r="K4" s="36">
        <v>2</v>
      </c>
      <c r="L4" s="36">
        <v>3</v>
      </c>
      <c r="M4" s="35" t="s">
        <v>9</v>
      </c>
      <c r="N4" s="35"/>
      <c r="AC4" s="37" t="s">
        <v>19</v>
      </c>
      <c r="AD4" s="40" t="s">
        <v>0</v>
      </c>
      <c r="AE4" s="37" t="s">
        <v>50</v>
      </c>
      <c r="AF4" s="36" t="s">
        <v>1</v>
      </c>
      <c r="AG4" s="36"/>
      <c r="AH4" s="36"/>
      <c r="AI4" s="36"/>
      <c r="AJ4" s="36"/>
      <c r="AK4" s="36"/>
      <c r="AL4" s="36" t="s">
        <v>11</v>
      </c>
      <c r="AM4" s="36"/>
      <c r="AN4" s="36"/>
      <c r="AO4" s="1"/>
      <c r="AP4" s="35" t="s">
        <v>23</v>
      </c>
      <c r="AR4" s="37" t="s">
        <v>19</v>
      </c>
      <c r="AS4" s="40" t="s">
        <v>0</v>
      </c>
      <c r="AT4" s="37" t="s">
        <v>50</v>
      </c>
      <c r="AU4" s="36" t="s">
        <v>1</v>
      </c>
      <c r="AV4" s="36"/>
      <c r="AW4" s="36"/>
      <c r="AX4" s="36"/>
      <c r="AY4" s="36"/>
      <c r="AZ4" s="36"/>
      <c r="BA4" s="36" t="s">
        <v>11</v>
      </c>
      <c r="BB4" s="36"/>
      <c r="BC4" s="36"/>
      <c r="BD4" s="1"/>
    </row>
    <row r="5" spans="1:56" x14ac:dyDescent="0.3">
      <c r="A5" s="36"/>
      <c r="B5" s="39"/>
      <c r="C5" s="39"/>
      <c r="D5" s="35"/>
      <c r="E5" s="36"/>
      <c r="F5" s="35"/>
      <c r="G5" s="35"/>
      <c r="H5" s="35"/>
      <c r="I5" s="35"/>
      <c r="J5" s="36"/>
      <c r="K5" s="36"/>
      <c r="L5" s="36"/>
      <c r="M5" s="35"/>
      <c r="N5" s="35"/>
      <c r="AC5" s="38"/>
      <c r="AD5" s="41"/>
      <c r="AE5" s="38"/>
      <c r="AF5" s="35" t="s">
        <v>2</v>
      </c>
      <c r="AG5" s="36" t="s">
        <v>3</v>
      </c>
      <c r="AH5" s="35" t="s">
        <v>4</v>
      </c>
      <c r="AI5" s="35" t="s">
        <v>5</v>
      </c>
      <c r="AJ5" s="35" t="s">
        <v>6</v>
      </c>
      <c r="AK5" s="35" t="s">
        <v>7</v>
      </c>
      <c r="AL5" s="36">
        <v>1</v>
      </c>
      <c r="AM5" s="36">
        <v>2</v>
      </c>
      <c r="AN5" s="36">
        <v>3</v>
      </c>
      <c r="AO5" s="35" t="s">
        <v>9</v>
      </c>
      <c r="AP5" s="35"/>
      <c r="AR5" s="38"/>
      <c r="AS5" s="41"/>
      <c r="AT5" s="38"/>
      <c r="AU5" s="35" t="s">
        <v>2</v>
      </c>
      <c r="AV5" s="36" t="s">
        <v>3</v>
      </c>
      <c r="AW5" s="35" t="s">
        <v>4</v>
      </c>
      <c r="AX5" s="35" t="s">
        <v>5</v>
      </c>
      <c r="AY5" s="35" t="s">
        <v>6</v>
      </c>
      <c r="AZ5" s="35" t="s">
        <v>7</v>
      </c>
      <c r="BA5" s="36">
        <v>1</v>
      </c>
      <c r="BB5" s="36">
        <v>2</v>
      </c>
      <c r="BC5" s="36">
        <v>3</v>
      </c>
      <c r="BD5" s="35" t="s">
        <v>9</v>
      </c>
    </row>
    <row r="6" spans="1:56" x14ac:dyDescent="0.3">
      <c r="A6" s="44">
        <v>1</v>
      </c>
      <c r="B6" s="27" t="s">
        <v>8</v>
      </c>
      <c r="C6" s="34">
        <v>45701</v>
      </c>
      <c r="D6" s="3">
        <v>0.24</v>
      </c>
      <c r="E6" s="3">
        <v>2.37</v>
      </c>
      <c r="F6" s="3">
        <v>7.27</v>
      </c>
      <c r="G6" s="3">
        <v>0.3</v>
      </c>
      <c r="H6" s="3">
        <v>0.13</v>
      </c>
      <c r="I6" s="3">
        <v>6</v>
      </c>
      <c r="J6" s="3">
        <f>SUM(D6:I6)</f>
        <v>16.310000000000002</v>
      </c>
      <c r="K6" s="3"/>
      <c r="L6" s="3"/>
      <c r="M6" s="30">
        <f>(J6+K7+L8)/3</f>
        <v>15.680000000000001</v>
      </c>
      <c r="N6" s="30">
        <f>60/M6*45</f>
        <v>172.19387755102039</v>
      </c>
      <c r="AC6" s="39"/>
      <c r="AD6" s="42"/>
      <c r="AE6" s="39"/>
      <c r="AF6" s="35"/>
      <c r="AG6" s="36"/>
      <c r="AH6" s="35"/>
      <c r="AI6" s="35"/>
      <c r="AJ6" s="35"/>
      <c r="AK6" s="35"/>
      <c r="AL6" s="36"/>
      <c r="AM6" s="36"/>
      <c r="AN6" s="36"/>
      <c r="AO6" s="35"/>
      <c r="AP6" s="35"/>
      <c r="AR6" s="39"/>
      <c r="AS6" s="42"/>
      <c r="AT6" s="39"/>
      <c r="AU6" s="35"/>
      <c r="AV6" s="36"/>
      <c r="AW6" s="35"/>
      <c r="AX6" s="35"/>
      <c r="AY6" s="35"/>
      <c r="AZ6" s="35"/>
      <c r="BA6" s="36"/>
      <c r="BB6" s="36"/>
      <c r="BC6" s="36"/>
      <c r="BD6" s="35"/>
    </row>
    <row r="7" spans="1:56" ht="14.4" customHeight="1" x14ac:dyDescent="0.3">
      <c r="A7" s="44"/>
      <c r="B7" s="28"/>
      <c r="C7" s="28"/>
      <c r="D7" s="3">
        <v>0.18</v>
      </c>
      <c r="E7" s="3">
        <v>2.0099999999999998</v>
      </c>
      <c r="F7" s="3">
        <v>6.01</v>
      </c>
      <c r="G7" s="3">
        <v>1.23</v>
      </c>
      <c r="H7" s="3">
        <v>0.24</v>
      </c>
      <c r="I7" s="3">
        <v>6.15</v>
      </c>
      <c r="J7" s="3"/>
      <c r="K7" s="3">
        <f>SUM(D7:I7)</f>
        <v>15.82</v>
      </c>
      <c r="L7" s="3"/>
      <c r="M7" s="30"/>
      <c r="N7" s="30"/>
      <c r="AC7" s="27">
        <v>1</v>
      </c>
      <c r="AD7" s="27" t="s">
        <v>12</v>
      </c>
      <c r="AE7" s="31">
        <v>45693</v>
      </c>
      <c r="AF7" s="3">
        <v>0.15</v>
      </c>
      <c r="AG7" s="3">
        <v>2.29</v>
      </c>
      <c r="AH7" s="3">
        <v>6.22</v>
      </c>
      <c r="AI7" s="3">
        <v>0.25</v>
      </c>
      <c r="AJ7" s="3">
        <v>0.3</v>
      </c>
      <c r="AK7" s="3">
        <v>5.0999999999999996</v>
      </c>
      <c r="AL7" s="27">
        <f>SUM(AF7:AK7)</f>
        <v>14.31</v>
      </c>
      <c r="AM7" s="27">
        <f>SUM(AF8:AK8)</f>
        <v>13.530000000000001</v>
      </c>
      <c r="AN7" s="27">
        <f>SUM(AF9:AK9)</f>
        <v>14.19</v>
      </c>
      <c r="AO7" s="30">
        <f>(AL7+AM7+AN7)/3</f>
        <v>14.01</v>
      </c>
      <c r="AP7" s="30">
        <f>60/AO7*45</f>
        <v>192.71948608137046</v>
      </c>
      <c r="AR7" s="27">
        <v>1</v>
      </c>
      <c r="AS7" s="27" t="s">
        <v>12</v>
      </c>
      <c r="AT7" s="31">
        <v>45693</v>
      </c>
      <c r="AU7" s="3">
        <v>0.2</v>
      </c>
      <c r="AV7" s="3">
        <v>2.4</v>
      </c>
      <c r="AW7" s="3">
        <v>7</v>
      </c>
      <c r="AX7" s="3">
        <v>0.35</v>
      </c>
      <c r="AY7" s="3">
        <v>0.4</v>
      </c>
      <c r="AZ7" s="3">
        <v>5.5</v>
      </c>
      <c r="BA7" s="27">
        <f>SUM(AU7:AZ7)</f>
        <v>15.85</v>
      </c>
      <c r="BB7" s="27">
        <f>SUM(AU8:AZ8)</f>
        <v>15.129999999999999</v>
      </c>
      <c r="BC7" s="27">
        <f>SUM(AU9:AZ9)</f>
        <v>14.75</v>
      </c>
      <c r="BD7" s="30">
        <f>(BA7+BB7+BC7)/3</f>
        <v>15.243333333333332</v>
      </c>
    </row>
    <row r="8" spans="1:56" x14ac:dyDescent="0.3">
      <c r="A8" s="44"/>
      <c r="B8" s="29"/>
      <c r="C8" s="29"/>
      <c r="D8" s="3">
        <v>0.2</v>
      </c>
      <c r="E8" s="3">
        <v>2.0299999999999998</v>
      </c>
      <c r="F8" s="3">
        <v>6.1</v>
      </c>
      <c r="G8" s="3">
        <v>0.2</v>
      </c>
      <c r="H8" s="3">
        <v>0.18</v>
      </c>
      <c r="I8" s="3">
        <v>6.2</v>
      </c>
      <c r="J8" s="3"/>
      <c r="K8" s="3"/>
      <c r="L8" s="3">
        <f>SUM(D8:I8)</f>
        <v>14.91</v>
      </c>
      <c r="M8" s="30"/>
      <c r="N8" s="30"/>
      <c r="AC8" s="28"/>
      <c r="AD8" s="28"/>
      <c r="AE8" s="32"/>
      <c r="AF8" s="3">
        <v>0.16</v>
      </c>
      <c r="AG8" s="3">
        <v>2.2999999999999998</v>
      </c>
      <c r="AH8" s="3">
        <v>5.44</v>
      </c>
      <c r="AI8" s="3">
        <v>0.21</v>
      </c>
      <c r="AJ8" s="3">
        <v>0.2</v>
      </c>
      <c r="AK8" s="3">
        <v>5.22</v>
      </c>
      <c r="AL8" s="28"/>
      <c r="AM8" s="28"/>
      <c r="AN8" s="28"/>
      <c r="AO8" s="30"/>
      <c r="AP8" s="30"/>
      <c r="AR8" s="28"/>
      <c r="AS8" s="28"/>
      <c r="AT8" s="32"/>
      <c r="AU8" s="3">
        <v>0.2</v>
      </c>
      <c r="AV8" s="3">
        <v>2.4</v>
      </c>
      <c r="AW8" s="3">
        <v>6</v>
      </c>
      <c r="AX8" s="3">
        <v>0.25</v>
      </c>
      <c r="AY8" s="3">
        <v>0.28000000000000003</v>
      </c>
      <c r="AZ8" s="3">
        <v>6</v>
      </c>
      <c r="BA8" s="28"/>
      <c r="BB8" s="28"/>
      <c r="BC8" s="28"/>
      <c r="BD8" s="30"/>
    </row>
    <row r="9" spans="1:56" x14ac:dyDescent="0.3">
      <c r="A9" s="44">
        <v>2</v>
      </c>
      <c r="B9" s="27" t="s">
        <v>10</v>
      </c>
      <c r="C9" s="34">
        <v>45701</v>
      </c>
      <c r="D9" s="3">
        <v>0.2</v>
      </c>
      <c r="E9" s="3">
        <v>1.47</v>
      </c>
      <c r="F9" s="3">
        <v>7.05</v>
      </c>
      <c r="G9" s="3">
        <v>0.25</v>
      </c>
      <c r="H9" s="3">
        <v>0.24</v>
      </c>
      <c r="I9" s="3">
        <v>7.11</v>
      </c>
      <c r="J9" s="3">
        <f>SUM(D9:I9)</f>
        <v>16.32</v>
      </c>
      <c r="K9" s="3"/>
      <c r="L9" s="3"/>
      <c r="M9" s="45">
        <f>(J9+K10+L11)/3</f>
        <v>15.9</v>
      </c>
      <c r="N9" s="30">
        <f>60/M9*45</f>
        <v>169.81132075471697</v>
      </c>
      <c r="AC9" s="29"/>
      <c r="AD9" s="29"/>
      <c r="AE9" s="33"/>
      <c r="AF9" s="3">
        <v>0.11</v>
      </c>
      <c r="AG9" s="3">
        <v>2.38</v>
      </c>
      <c r="AH9" s="3">
        <v>6</v>
      </c>
      <c r="AI9" s="3">
        <v>0.2</v>
      </c>
      <c r="AJ9" s="3">
        <v>0.25</v>
      </c>
      <c r="AK9" s="3">
        <v>5.25</v>
      </c>
      <c r="AL9" s="29"/>
      <c r="AM9" s="29"/>
      <c r="AN9" s="29"/>
      <c r="AO9" s="30"/>
      <c r="AP9" s="30"/>
      <c r="AR9" s="29"/>
      <c r="AS9" s="29"/>
      <c r="AT9" s="33"/>
      <c r="AU9" s="3">
        <v>0.15</v>
      </c>
      <c r="AV9" s="3">
        <v>2.4500000000000002</v>
      </c>
      <c r="AW9" s="3">
        <v>6.3</v>
      </c>
      <c r="AX9" s="3">
        <v>0.25</v>
      </c>
      <c r="AY9" s="3">
        <v>0.3</v>
      </c>
      <c r="AZ9" s="3">
        <v>5.3</v>
      </c>
      <c r="BA9" s="29"/>
      <c r="BB9" s="29"/>
      <c r="BC9" s="29"/>
      <c r="BD9" s="30"/>
    </row>
    <row r="10" spans="1:56" ht="14.4" customHeight="1" x14ac:dyDescent="0.3">
      <c r="A10" s="44"/>
      <c r="B10" s="28"/>
      <c r="C10" s="28"/>
      <c r="D10" s="3">
        <v>0.23</v>
      </c>
      <c r="E10" s="3">
        <v>2.23</v>
      </c>
      <c r="F10" s="3">
        <v>7.45</v>
      </c>
      <c r="G10" s="3">
        <v>0.27</v>
      </c>
      <c r="H10" s="3">
        <v>0.32</v>
      </c>
      <c r="I10" s="3">
        <v>5.3</v>
      </c>
      <c r="J10" s="3"/>
      <c r="K10" s="3">
        <f>SUM(D10:I10)</f>
        <v>15.8</v>
      </c>
      <c r="L10" s="3"/>
      <c r="M10" s="45"/>
      <c r="N10" s="30"/>
      <c r="AC10" s="27">
        <v>2</v>
      </c>
      <c r="AD10" s="27" t="s">
        <v>30</v>
      </c>
      <c r="AE10" s="31">
        <v>45695</v>
      </c>
      <c r="AF10" s="3">
        <v>0.22</v>
      </c>
      <c r="AG10" s="3">
        <v>2.1</v>
      </c>
      <c r="AH10" s="3">
        <v>6</v>
      </c>
      <c r="AI10" s="3">
        <v>0.25</v>
      </c>
      <c r="AJ10" s="3">
        <v>0.3</v>
      </c>
      <c r="AK10" s="3">
        <v>5.55</v>
      </c>
      <c r="AL10" s="27">
        <f>SUM(AF10:AK10)</f>
        <v>14.420000000000002</v>
      </c>
      <c r="AM10" s="27">
        <f>SUM(AF11:AK11)</f>
        <v>13.89</v>
      </c>
      <c r="AN10" s="27">
        <f>SUM(AF12:AK12)</f>
        <v>13.030000000000001</v>
      </c>
      <c r="AO10" s="30">
        <f>(AL10+AM10+AN10)/3</f>
        <v>13.780000000000001</v>
      </c>
      <c r="AP10" s="30">
        <f>60/AO10*45</f>
        <v>195.93613933236574</v>
      </c>
      <c r="AR10" s="27">
        <v>2</v>
      </c>
      <c r="AS10" s="27" t="s">
        <v>30</v>
      </c>
      <c r="AT10" s="31">
        <v>45695</v>
      </c>
      <c r="AU10" s="3">
        <v>0.25</v>
      </c>
      <c r="AV10" s="3">
        <v>2.4</v>
      </c>
      <c r="AW10" s="3">
        <v>6.2</v>
      </c>
      <c r="AX10" s="3">
        <v>0.27</v>
      </c>
      <c r="AY10" s="3">
        <v>0.36</v>
      </c>
      <c r="AZ10" s="3">
        <v>6</v>
      </c>
      <c r="BA10" s="27">
        <f>SUM(AU10:AZ10)</f>
        <v>15.479999999999999</v>
      </c>
      <c r="BB10" s="27">
        <f>SUM(AU11:AZ11)</f>
        <v>14.95</v>
      </c>
      <c r="BC10" s="27">
        <f>SUM(AU12:AZ12)</f>
        <v>14.01</v>
      </c>
      <c r="BD10" s="30">
        <f>(BA10+BB10+BC10)/3</f>
        <v>14.813333333333333</v>
      </c>
    </row>
    <row r="11" spans="1:56" x14ac:dyDescent="0.3">
      <c r="A11" s="44"/>
      <c r="B11" s="29"/>
      <c r="C11" s="29"/>
      <c r="D11" s="3">
        <v>0.19</v>
      </c>
      <c r="E11" s="3">
        <v>1.53</v>
      </c>
      <c r="F11" s="3">
        <v>7.3</v>
      </c>
      <c r="G11" s="3">
        <v>0.28000000000000003</v>
      </c>
      <c r="H11" s="3">
        <v>0.28000000000000003</v>
      </c>
      <c r="I11" s="3">
        <v>6</v>
      </c>
      <c r="J11" s="3"/>
      <c r="K11" s="3"/>
      <c r="L11" s="3">
        <f>SUM(D11:I11)</f>
        <v>15.579999999999998</v>
      </c>
      <c r="M11" s="45"/>
      <c r="N11" s="30"/>
      <c r="AC11" s="28"/>
      <c r="AD11" s="28"/>
      <c r="AE11" s="32"/>
      <c r="AF11" s="3">
        <v>0.16</v>
      </c>
      <c r="AG11" s="3">
        <v>2.15</v>
      </c>
      <c r="AH11" s="3">
        <v>5.5</v>
      </c>
      <c r="AI11" s="3">
        <v>0.26</v>
      </c>
      <c r="AJ11" s="3">
        <v>0.32</v>
      </c>
      <c r="AK11" s="3">
        <v>5.5</v>
      </c>
      <c r="AL11" s="28"/>
      <c r="AM11" s="28"/>
      <c r="AN11" s="28"/>
      <c r="AO11" s="30"/>
      <c r="AP11" s="30"/>
      <c r="AR11" s="28"/>
      <c r="AS11" s="28"/>
      <c r="AT11" s="32"/>
      <c r="AU11" s="3">
        <v>0.2</v>
      </c>
      <c r="AV11" s="3">
        <v>2.35</v>
      </c>
      <c r="AW11" s="3">
        <v>6</v>
      </c>
      <c r="AX11" s="3">
        <v>0.26</v>
      </c>
      <c r="AY11" s="3">
        <v>0.34</v>
      </c>
      <c r="AZ11" s="3">
        <v>5.8</v>
      </c>
      <c r="BA11" s="28"/>
      <c r="BB11" s="28"/>
      <c r="BC11" s="28"/>
      <c r="BD11" s="30"/>
    </row>
    <row r="12" spans="1:56" x14ac:dyDescent="0.3">
      <c r="A12" s="44">
        <v>3</v>
      </c>
      <c r="B12" s="27" t="s">
        <v>12</v>
      </c>
      <c r="C12" s="34">
        <v>45693</v>
      </c>
      <c r="D12" s="3">
        <v>0.15</v>
      </c>
      <c r="E12" s="3">
        <v>2.29</v>
      </c>
      <c r="F12" s="3">
        <v>6.22</v>
      </c>
      <c r="G12" s="3">
        <v>0.25</v>
      </c>
      <c r="H12" s="3">
        <v>0.3</v>
      </c>
      <c r="I12" s="3">
        <v>5.0999999999999996</v>
      </c>
      <c r="J12" s="3">
        <f>SUM(D12:I12)</f>
        <v>14.31</v>
      </c>
      <c r="K12" s="3"/>
      <c r="L12" s="3"/>
      <c r="M12" s="30">
        <f>(J12+K13+L14)/3</f>
        <v>14.01</v>
      </c>
      <c r="N12" s="30">
        <f>60/M12*45</f>
        <v>192.71948608137046</v>
      </c>
      <c r="AC12" s="29"/>
      <c r="AD12" s="29"/>
      <c r="AE12" s="33"/>
      <c r="AF12" s="3">
        <v>0.18</v>
      </c>
      <c r="AG12" s="3">
        <v>2</v>
      </c>
      <c r="AH12" s="3">
        <v>5.2</v>
      </c>
      <c r="AI12" s="3">
        <v>0.28999999999999998</v>
      </c>
      <c r="AJ12" s="3">
        <v>0.36</v>
      </c>
      <c r="AK12" s="3">
        <v>5</v>
      </c>
      <c r="AL12" s="29"/>
      <c r="AM12" s="29"/>
      <c r="AN12" s="29"/>
      <c r="AO12" s="30"/>
      <c r="AP12" s="30"/>
      <c r="AR12" s="29"/>
      <c r="AS12" s="29"/>
      <c r="AT12" s="33"/>
      <c r="AU12" s="3">
        <v>0.22</v>
      </c>
      <c r="AV12" s="3">
        <v>2.33</v>
      </c>
      <c r="AW12" s="3">
        <v>5.8</v>
      </c>
      <c r="AX12" s="3">
        <v>0.3</v>
      </c>
      <c r="AY12" s="3">
        <v>0.36</v>
      </c>
      <c r="AZ12" s="3">
        <v>5</v>
      </c>
      <c r="BA12" s="29"/>
      <c r="BB12" s="29"/>
      <c r="BC12" s="29"/>
      <c r="BD12" s="30"/>
    </row>
    <row r="13" spans="1:56" ht="14.4" customHeight="1" x14ac:dyDescent="0.3">
      <c r="A13" s="44"/>
      <c r="B13" s="28"/>
      <c r="C13" s="28"/>
      <c r="D13" s="3">
        <v>0.16</v>
      </c>
      <c r="E13" s="3">
        <v>2.2999999999999998</v>
      </c>
      <c r="F13" s="3">
        <v>5.44</v>
      </c>
      <c r="G13" s="3">
        <v>0.21</v>
      </c>
      <c r="H13" s="3">
        <v>0.2</v>
      </c>
      <c r="I13" s="3">
        <v>5.22</v>
      </c>
      <c r="J13" s="3"/>
      <c r="K13" s="3">
        <f>SUM(D13:I13)</f>
        <v>13.530000000000001</v>
      </c>
      <c r="L13" s="3"/>
      <c r="M13" s="30"/>
      <c r="N13" s="30"/>
      <c r="AC13" s="27">
        <v>3</v>
      </c>
      <c r="AD13" s="27" t="s">
        <v>13</v>
      </c>
      <c r="AE13" s="31">
        <v>45696</v>
      </c>
      <c r="AF13" s="3">
        <v>0.16</v>
      </c>
      <c r="AG13" s="3">
        <v>2.0099999999999998</v>
      </c>
      <c r="AH13" s="3">
        <v>5.26</v>
      </c>
      <c r="AI13" s="3">
        <v>0.28000000000000003</v>
      </c>
      <c r="AJ13" s="3">
        <v>0.3</v>
      </c>
      <c r="AK13" s="3">
        <v>5.0999999999999996</v>
      </c>
      <c r="AL13" s="27">
        <f>SUM(AF13:AK13)</f>
        <v>13.11</v>
      </c>
      <c r="AM13" s="27">
        <f>SUM(AF14:AK14)</f>
        <v>13.14</v>
      </c>
      <c r="AN13" s="27">
        <f>SUM(AF15:AK15)</f>
        <v>14.32</v>
      </c>
      <c r="AO13" s="30">
        <f>(AL13+AM13+AN13)/3</f>
        <v>13.523333333333333</v>
      </c>
      <c r="AP13" s="30">
        <f>60/AO13*45</f>
        <v>199.65491742666993</v>
      </c>
      <c r="AR13" s="27">
        <v>3</v>
      </c>
      <c r="AS13" s="27" t="s">
        <v>13</v>
      </c>
      <c r="AT13" s="31">
        <v>45696</v>
      </c>
      <c r="AU13" s="3">
        <v>0.18</v>
      </c>
      <c r="AV13" s="3">
        <v>2.29</v>
      </c>
      <c r="AW13" s="3">
        <v>5.26</v>
      </c>
      <c r="AX13" s="3">
        <v>0.28000000000000003</v>
      </c>
      <c r="AY13" s="3">
        <v>0.3</v>
      </c>
      <c r="AZ13" s="3">
        <v>5.4</v>
      </c>
      <c r="BA13" s="27">
        <f>SUM(AU13:AZ13)</f>
        <v>13.71</v>
      </c>
      <c r="BB13" s="27">
        <f>SUM(AU14:AZ14)</f>
        <v>13.989999999999998</v>
      </c>
      <c r="BC13" s="27">
        <f>SUM(AU15:AZ15)</f>
        <v>15.09</v>
      </c>
      <c r="BD13" s="30">
        <f>(BA13+BB13+BC13)/3</f>
        <v>14.263333333333334</v>
      </c>
    </row>
    <row r="14" spans="1:56" x14ac:dyDescent="0.3">
      <c r="A14" s="44"/>
      <c r="B14" s="29"/>
      <c r="C14" s="29"/>
      <c r="D14" s="3">
        <v>0.11</v>
      </c>
      <c r="E14" s="3">
        <v>2.38</v>
      </c>
      <c r="F14" s="3">
        <v>6</v>
      </c>
      <c r="G14" s="3">
        <v>0.2</v>
      </c>
      <c r="H14" s="3">
        <v>0.25</v>
      </c>
      <c r="I14" s="3">
        <v>5.25</v>
      </c>
      <c r="J14" s="3"/>
      <c r="K14" s="3"/>
      <c r="L14" s="3">
        <f>SUM(D14:I14)</f>
        <v>14.19</v>
      </c>
      <c r="M14" s="30"/>
      <c r="N14" s="30"/>
      <c r="AC14" s="28"/>
      <c r="AD14" s="28"/>
      <c r="AE14" s="32"/>
      <c r="AF14" s="3">
        <v>0.16</v>
      </c>
      <c r="AG14" s="3">
        <v>2.15</v>
      </c>
      <c r="AH14" s="3">
        <v>5.07</v>
      </c>
      <c r="AI14" s="3">
        <v>0.43</v>
      </c>
      <c r="AJ14" s="3">
        <v>0.33</v>
      </c>
      <c r="AK14" s="3">
        <v>5</v>
      </c>
      <c r="AL14" s="28"/>
      <c r="AM14" s="28"/>
      <c r="AN14" s="28"/>
      <c r="AO14" s="30"/>
      <c r="AP14" s="30"/>
      <c r="AR14" s="28"/>
      <c r="AS14" s="28"/>
      <c r="AT14" s="32"/>
      <c r="AU14" s="3">
        <v>0.2</v>
      </c>
      <c r="AV14" s="3">
        <v>2.34</v>
      </c>
      <c r="AW14" s="3">
        <v>5.5</v>
      </c>
      <c r="AX14" s="3">
        <v>0.3</v>
      </c>
      <c r="AY14" s="3">
        <v>0.35</v>
      </c>
      <c r="AZ14" s="3">
        <v>5.3</v>
      </c>
      <c r="BA14" s="28"/>
      <c r="BB14" s="28"/>
      <c r="BC14" s="28"/>
      <c r="BD14" s="30"/>
    </row>
    <row r="15" spans="1:56" x14ac:dyDescent="0.3">
      <c r="A15" s="44">
        <v>4</v>
      </c>
      <c r="B15" s="27" t="s">
        <v>13</v>
      </c>
      <c r="C15" s="34">
        <v>45696</v>
      </c>
      <c r="D15" s="3">
        <v>0.16</v>
      </c>
      <c r="E15" s="3">
        <v>2.0099999999999998</v>
      </c>
      <c r="F15" s="3">
        <v>5.26</v>
      </c>
      <c r="G15" s="3">
        <v>0.28000000000000003</v>
      </c>
      <c r="H15" s="3">
        <v>0.3</v>
      </c>
      <c r="I15" s="3">
        <v>5.0999999999999996</v>
      </c>
      <c r="J15" s="3">
        <f>SUM(D15:I15)</f>
        <v>13.11</v>
      </c>
      <c r="K15" s="3"/>
      <c r="L15" s="3"/>
      <c r="M15" s="30">
        <f>(J15+K16+L17)/3</f>
        <v>13.523333333333333</v>
      </c>
      <c r="N15" s="30">
        <f>60/M15*45</f>
        <v>199.65491742666993</v>
      </c>
      <c r="AC15" s="29"/>
      <c r="AD15" s="29"/>
      <c r="AE15" s="33"/>
      <c r="AF15" s="3">
        <v>0.33</v>
      </c>
      <c r="AG15" s="3">
        <v>2.2400000000000002</v>
      </c>
      <c r="AH15" s="3">
        <v>6.2</v>
      </c>
      <c r="AI15" s="3">
        <v>0.15</v>
      </c>
      <c r="AJ15" s="3">
        <v>0.35</v>
      </c>
      <c r="AK15" s="3">
        <v>5.05</v>
      </c>
      <c r="AL15" s="29"/>
      <c r="AM15" s="29"/>
      <c r="AN15" s="29"/>
      <c r="AO15" s="30"/>
      <c r="AP15" s="30"/>
      <c r="AR15" s="29"/>
      <c r="AS15" s="29"/>
      <c r="AT15" s="33"/>
      <c r="AU15" s="3">
        <v>0.24</v>
      </c>
      <c r="AV15" s="3">
        <v>2.31</v>
      </c>
      <c r="AW15" s="3">
        <v>6.2</v>
      </c>
      <c r="AX15" s="3">
        <v>0.27</v>
      </c>
      <c r="AY15" s="3">
        <v>0.37</v>
      </c>
      <c r="AZ15" s="3">
        <v>5.7</v>
      </c>
      <c r="BA15" s="29"/>
      <c r="BB15" s="29"/>
      <c r="BC15" s="29"/>
      <c r="BD15" s="30"/>
    </row>
    <row r="16" spans="1:56" ht="14.4" customHeight="1" x14ac:dyDescent="0.3">
      <c r="A16" s="44"/>
      <c r="B16" s="28"/>
      <c r="C16" s="28"/>
      <c r="D16" s="3">
        <v>0.16</v>
      </c>
      <c r="E16" s="3">
        <v>2.15</v>
      </c>
      <c r="F16" s="3">
        <v>5.07</v>
      </c>
      <c r="G16" s="3">
        <v>0.43</v>
      </c>
      <c r="H16" s="3">
        <v>0.33</v>
      </c>
      <c r="I16" s="3">
        <v>5</v>
      </c>
      <c r="J16" s="3"/>
      <c r="K16" s="3">
        <f>SUM(D16:I16)</f>
        <v>13.14</v>
      </c>
      <c r="L16" s="3"/>
      <c r="M16" s="30"/>
      <c r="N16" s="30"/>
      <c r="AC16" s="27">
        <v>4</v>
      </c>
      <c r="AD16" s="27" t="s">
        <v>31</v>
      </c>
      <c r="AE16" s="31">
        <v>45699</v>
      </c>
      <c r="AF16" s="3">
        <v>0.25</v>
      </c>
      <c r="AG16" s="3">
        <v>2.14</v>
      </c>
      <c r="AH16" s="3">
        <v>6</v>
      </c>
      <c r="AI16" s="3">
        <v>0.2</v>
      </c>
      <c r="AJ16" s="3">
        <v>0.26</v>
      </c>
      <c r="AK16" s="3">
        <v>4.5599999999999996</v>
      </c>
      <c r="AL16" s="27">
        <f>SUM(AF16:AK16)</f>
        <v>13.41</v>
      </c>
      <c r="AM16" s="27">
        <f>SUM(AF17:AK17)</f>
        <v>13.740000000000002</v>
      </c>
      <c r="AN16" s="27">
        <f>SUM(AF18:AK18)</f>
        <v>13.65</v>
      </c>
      <c r="AO16" s="30">
        <f>(AL16+AM16+AN16)/3</f>
        <v>13.600000000000001</v>
      </c>
      <c r="AP16" s="30">
        <f>60/AO16*45</f>
        <v>198.52941176470586</v>
      </c>
      <c r="AR16" s="27">
        <v>4</v>
      </c>
      <c r="AS16" s="27" t="s">
        <v>31</v>
      </c>
      <c r="AT16" s="31">
        <v>45699</v>
      </c>
      <c r="AU16" s="3">
        <v>0.25</v>
      </c>
      <c r="AV16" s="3">
        <v>2.2999999999999998</v>
      </c>
      <c r="AW16" s="3">
        <v>6</v>
      </c>
      <c r="AX16" s="3">
        <v>0.22</v>
      </c>
      <c r="AY16" s="3">
        <v>0.3</v>
      </c>
      <c r="AZ16" s="3">
        <v>5.5</v>
      </c>
      <c r="BA16" s="27">
        <f>SUM(AU16:AZ16)</f>
        <v>14.570000000000002</v>
      </c>
      <c r="BB16" s="27">
        <f>SUM(AU17:AZ17)</f>
        <v>15.17</v>
      </c>
      <c r="BC16" s="27">
        <f>SUM(AU18:AZ18)</f>
        <v>15.21</v>
      </c>
      <c r="BD16" s="30">
        <f>(BA16+BB16+BC16)/3</f>
        <v>14.983333333333334</v>
      </c>
    </row>
    <row r="17" spans="1:56" x14ac:dyDescent="0.3">
      <c r="A17" s="44"/>
      <c r="B17" s="29"/>
      <c r="C17" s="29"/>
      <c r="D17" s="3">
        <v>0.33</v>
      </c>
      <c r="E17" s="3">
        <v>2.2400000000000002</v>
      </c>
      <c r="F17" s="3">
        <v>6.2</v>
      </c>
      <c r="G17" s="3">
        <v>0.15</v>
      </c>
      <c r="H17" s="3">
        <v>0.35</v>
      </c>
      <c r="I17" s="3">
        <v>5.05</v>
      </c>
      <c r="J17" s="3"/>
      <c r="K17" s="3"/>
      <c r="L17" s="3">
        <f>SUM(D17:I17)</f>
        <v>14.32</v>
      </c>
      <c r="M17" s="30"/>
      <c r="N17" s="30"/>
      <c r="AC17" s="28"/>
      <c r="AD17" s="28"/>
      <c r="AE17" s="32"/>
      <c r="AF17" s="3">
        <v>0.2</v>
      </c>
      <c r="AG17" s="3">
        <v>2.16</v>
      </c>
      <c r="AH17" s="3">
        <v>5.7</v>
      </c>
      <c r="AI17" s="3">
        <v>0.25</v>
      </c>
      <c r="AJ17" s="3">
        <v>0.23</v>
      </c>
      <c r="AK17" s="3">
        <v>5.2</v>
      </c>
      <c r="AL17" s="28"/>
      <c r="AM17" s="28"/>
      <c r="AN17" s="28"/>
      <c r="AO17" s="30"/>
      <c r="AP17" s="30"/>
      <c r="AR17" s="28"/>
      <c r="AS17" s="28"/>
      <c r="AT17" s="32"/>
      <c r="AU17" s="3">
        <v>0.23</v>
      </c>
      <c r="AV17" s="3">
        <v>2.34</v>
      </c>
      <c r="AW17" s="3">
        <v>6</v>
      </c>
      <c r="AX17" s="3">
        <v>0.25</v>
      </c>
      <c r="AY17" s="3">
        <v>0.35</v>
      </c>
      <c r="AZ17" s="3">
        <v>6</v>
      </c>
      <c r="BA17" s="28"/>
      <c r="BB17" s="28"/>
      <c r="BC17" s="28"/>
      <c r="BD17" s="30"/>
    </row>
    <row r="18" spans="1:56" x14ac:dyDescent="0.3">
      <c r="A18" s="44">
        <v>5</v>
      </c>
      <c r="B18" s="27" t="s">
        <v>14</v>
      </c>
      <c r="C18" s="34">
        <v>45702</v>
      </c>
      <c r="D18" s="3">
        <v>0.12</v>
      </c>
      <c r="E18" s="3">
        <v>2.1800000000000002</v>
      </c>
      <c r="F18" s="3">
        <v>6.55</v>
      </c>
      <c r="G18" s="3">
        <v>1.19</v>
      </c>
      <c r="H18" s="3">
        <v>0.28999999999999998</v>
      </c>
      <c r="I18" s="3">
        <v>5</v>
      </c>
      <c r="J18" s="3">
        <f>SUM(D18:I18)</f>
        <v>15.329999999999998</v>
      </c>
      <c r="K18" s="3"/>
      <c r="L18" s="3"/>
      <c r="M18" s="30">
        <f>(J18+K19+L20)/3</f>
        <v>14.593333333333334</v>
      </c>
      <c r="N18" s="30">
        <f>60/M18*45</f>
        <v>185.01598903608954</v>
      </c>
      <c r="AC18" s="29"/>
      <c r="AD18" s="29"/>
      <c r="AE18" s="33"/>
      <c r="AF18" s="3">
        <v>0.18</v>
      </c>
      <c r="AG18" s="3">
        <v>2.2000000000000002</v>
      </c>
      <c r="AH18" s="3">
        <v>5.6</v>
      </c>
      <c r="AI18" s="3">
        <v>0.27</v>
      </c>
      <c r="AJ18" s="3">
        <v>0.3</v>
      </c>
      <c r="AK18" s="3">
        <v>5.0999999999999996</v>
      </c>
      <c r="AL18" s="29"/>
      <c r="AM18" s="29"/>
      <c r="AN18" s="29"/>
      <c r="AO18" s="30"/>
      <c r="AP18" s="30"/>
      <c r="AR18" s="29"/>
      <c r="AS18" s="29"/>
      <c r="AT18" s="33"/>
      <c r="AU18" s="3">
        <v>0.25</v>
      </c>
      <c r="AV18" s="3">
        <v>2.27</v>
      </c>
      <c r="AW18" s="3">
        <v>6.2</v>
      </c>
      <c r="AX18" s="3">
        <v>0.34</v>
      </c>
      <c r="AY18" s="3">
        <v>0.35</v>
      </c>
      <c r="AZ18" s="3">
        <v>5.8</v>
      </c>
      <c r="BA18" s="29"/>
      <c r="BB18" s="29"/>
      <c r="BC18" s="29"/>
      <c r="BD18" s="30"/>
    </row>
    <row r="19" spans="1:56" ht="14.4" customHeight="1" x14ac:dyDescent="0.3">
      <c r="A19" s="44"/>
      <c r="B19" s="28"/>
      <c r="C19" s="28"/>
      <c r="D19" s="3">
        <v>0.3</v>
      </c>
      <c r="E19" s="3">
        <v>2.15</v>
      </c>
      <c r="F19" s="3">
        <v>6.3</v>
      </c>
      <c r="G19" s="3">
        <v>0.45</v>
      </c>
      <c r="H19" s="3">
        <v>0.32</v>
      </c>
      <c r="I19" s="3">
        <v>4.5599999999999996</v>
      </c>
      <c r="J19" s="3"/>
      <c r="K19" s="3">
        <f>SUM(D19:I19)</f>
        <v>14.079999999999998</v>
      </c>
      <c r="L19" s="3"/>
      <c r="M19" s="30"/>
      <c r="N19" s="30"/>
      <c r="AC19" s="27">
        <v>5</v>
      </c>
      <c r="AD19" s="27" t="s">
        <v>22</v>
      </c>
      <c r="AE19" s="31">
        <v>45700</v>
      </c>
      <c r="AF19" s="3">
        <v>0.2</v>
      </c>
      <c r="AG19" s="3">
        <v>2</v>
      </c>
      <c r="AH19" s="3">
        <v>5.31</v>
      </c>
      <c r="AI19" s="3">
        <v>0.18</v>
      </c>
      <c r="AJ19" s="3">
        <v>0.32</v>
      </c>
      <c r="AK19" s="3">
        <v>5.43</v>
      </c>
      <c r="AL19" s="27">
        <f>SUM(AF19:AK19)</f>
        <v>13.44</v>
      </c>
      <c r="AM19" s="27">
        <f>SUM(AF20:AK20)</f>
        <v>13.51</v>
      </c>
      <c r="AN19" s="27">
        <f>SUM(AF21:AK21)</f>
        <v>14.66</v>
      </c>
      <c r="AO19" s="30">
        <f>(AL19+AM19+AN19)/3</f>
        <v>13.87</v>
      </c>
      <c r="AP19" s="30">
        <f>60/AO19*45</f>
        <v>194.66474405191062</v>
      </c>
      <c r="AR19" s="27">
        <v>5</v>
      </c>
      <c r="AS19" s="27" t="s">
        <v>22</v>
      </c>
      <c r="AT19" s="31">
        <v>45700</v>
      </c>
      <c r="AU19" s="3">
        <v>0.2</v>
      </c>
      <c r="AV19" s="3">
        <v>2.29</v>
      </c>
      <c r="AW19" s="3">
        <v>5.31</v>
      </c>
      <c r="AX19" s="3">
        <v>0.25</v>
      </c>
      <c r="AY19" s="3">
        <v>0.36</v>
      </c>
      <c r="AZ19" s="3">
        <v>5.55</v>
      </c>
      <c r="BA19" s="27">
        <f>SUM(AU19:AZ19)</f>
        <v>13.96</v>
      </c>
      <c r="BB19" s="27">
        <f>SUM(AU20:AZ20)</f>
        <v>13.959999999999999</v>
      </c>
      <c r="BC19" s="27">
        <f>SUM(AU21:AZ21)</f>
        <v>15.62</v>
      </c>
      <c r="BD19" s="30">
        <f>(BA19+BB19+BC19)/3</f>
        <v>14.513333333333334</v>
      </c>
    </row>
    <row r="20" spans="1:56" x14ac:dyDescent="0.3">
      <c r="A20" s="44"/>
      <c r="B20" s="29"/>
      <c r="C20" s="29"/>
      <c r="D20" s="3">
        <v>0.23</v>
      </c>
      <c r="E20" s="3">
        <v>2.0299999999999998</v>
      </c>
      <c r="F20" s="3">
        <v>6</v>
      </c>
      <c r="G20" s="3">
        <v>0.52</v>
      </c>
      <c r="H20" s="3">
        <v>0.31</v>
      </c>
      <c r="I20" s="3">
        <v>5.28</v>
      </c>
      <c r="J20" s="3"/>
      <c r="K20" s="3"/>
      <c r="L20" s="3">
        <f>SUM(D20:I20)</f>
        <v>14.370000000000001</v>
      </c>
      <c r="M20" s="30"/>
      <c r="N20" s="30"/>
      <c r="AC20" s="28"/>
      <c r="AD20" s="28"/>
      <c r="AE20" s="32"/>
      <c r="AF20" s="3">
        <v>0.2</v>
      </c>
      <c r="AG20" s="3">
        <v>2.0699999999999998</v>
      </c>
      <c r="AH20" s="3">
        <v>5.31</v>
      </c>
      <c r="AI20" s="3">
        <v>0.18</v>
      </c>
      <c r="AJ20" s="3">
        <v>0.32</v>
      </c>
      <c r="AK20" s="3">
        <v>5.43</v>
      </c>
      <c r="AL20" s="28"/>
      <c r="AM20" s="28"/>
      <c r="AN20" s="28"/>
      <c r="AO20" s="30"/>
      <c r="AP20" s="30"/>
      <c r="AR20" s="28"/>
      <c r="AS20" s="28"/>
      <c r="AT20" s="32"/>
      <c r="AU20" s="3">
        <v>0.22</v>
      </c>
      <c r="AV20" s="3">
        <v>2.2999999999999998</v>
      </c>
      <c r="AW20" s="3">
        <v>5.35</v>
      </c>
      <c r="AX20" s="3">
        <v>0.24</v>
      </c>
      <c r="AY20" s="3">
        <v>0.35</v>
      </c>
      <c r="AZ20" s="3">
        <v>5.5</v>
      </c>
      <c r="BA20" s="28"/>
      <c r="BB20" s="28"/>
      <c r="BC20" s="28"/>
      <c r="BD20" s="30"/>
    </row>
    <row r="21" spans="1:56" x14ac:dyDescent="0.3">
      <c r="A21" s="44">
        <v>6</v>
      </c>
      <c r="B21" s="27" t="s">
        <v>22</v>
      </c>
      <c r="C21" s="34">
        <v>45700</v>
      </c>
      <c r="D21" s="3">
        <v>0.2</v>
      </c>
      <c r="E21" s="3">
        <v>2</v>
      </c>
      <c r="F21" s="3">
        <v>5.31</v>
      </c>
      <c r="G21" s="3">
        <v>0.18</v>
      </c>
      <c r="H21" s="3">
        <v>0.32</v>
      </c>
      <c r="I21" s="3">
        <v>5.43</v>
      </c>
      <c r="J21" s="3">
        <f>SUM(D21:I21)</f>
        <v>13.44</v>
      </c>
      <c r="K21" s="3"/>
      <c r="L21" s="3"/>
      <c r="M21" s="30">
        <f>(J21+K22+L23)/3</f>
        <v>13.87</v>
      </c>
      <c r="N21" s="30">
        <f>60/M21*45</f>
        <v>194.66474405191062</v>
      </c>
      <c r="AC21" s="29"/>
      <c r="AD21" s="29"/>
      <c r="AE21" s="33"/>
      <c r="AF21" s="3">
        <v>0.15</v>
      </c>
      <c r="AG21" s="3">
        <v>2.02</v>
      </c>
      <c r="AH21" s="3">
        <v>6.42</v>
      </c>
      <c r="AI21" s="3">
        <v>0.31</v>
      </c>
      <c r="AJ21" s="3">
        <v>0.37</v>
      </c>
      <c r="AK21" s="3">
        <v>5.39</v>
      </c>
      <c r="AL21" s="29"/>
      <c r="AM21" s="29"/>
      <c r="AN21" s="29"/>
      <c r="AO21" s="30"/>
      <c r="AP21" s="30"/>
      <c r="AR21" s="29"/>
      <c r="AS21" s="29"/>
      <c r="AT21" s="33"/>
      <c r="AU21" s="3">
        <v>0.25</v>
      </c>
      <c r="AV21" s="3">
        <v>2.31</v>
      </c>
      <c r="AW21" s="3">
        <v>6.38</v>
      </c>
      <c r="AX21" s="3">
        <v>0.31</v>
      </c>
      <c r="AY21" s="3">
        <v>0.37</v>
      </c>
      <c r="AZ21" s="3">
        <v>6</v>
      </c>
      <c r="BA21" s="29"/>
      <c r="BB21" s="29"/>
      <c r="BC21" s="29"/>
      <c r="BD21" s="30"/>
    </row>
    <row r="22" spans="1:56" ht="14.4" customHeight="1" x14ac:dyDescent="0.3">
      <c r="A22" s="44"/>
      <c r="B22" s="28"/>
      <c r="C22" s="28"/>
      <c r="D22" s="3">
        <v>0.2</v>
      </c>
      <c r="E22" s="3">
        <v>2.0699999999999998</v>
      </c>
      <c r="F22" s="3">
        <v>5.31</v>
      </c>
      <c r="G22" s="3">
        <v>0.18</v>
      </c>
      <c r="H22" s="3">
        <v>0.32</v>
      </c>
      <c r="I22" s="3">
        <v>5.43</v>
      </c>
      <c r="J22" s="3"/>
      <c r="K22" s="3">
        <f>SUM(D22:I22)</f>
        <v>13.51</v>
      </c>
      <c r="L22" s="3"/>
      <c r="M22" s="30"/>
      <c r="N22" s="30"/>
      <c r="AC22" s="27">
        <v>6</v>
      </c>
      <c r="AD22" s="27" t="s">
        <v>16</v>
      </c>
      <c r="AE22" s="31">
        <v>45701</v>
      </c>
      <c r="AF22" s="3">
        <v>0.18</v>
      </c>
      <c r="AG22" s="3">
        <v>2.2200000000000002</v>
      </c>
      <c r="AH22" s="3">
        <v>6</v>
      </c>
      <c r="AI22" s="3">
        <v>0.24</v>
      </c>
      <c r="AJ22" s="3">
        <v>0.32</v>
      </c>
      <c r="AK22" s="3">
        <v>5.52</v>
      </c>
      <c r="AL22" s="27">
        <f>SUM(AF22:AK22)</f>
        <v>14.48</v>
      </c>
      <c r="AM22" s="27">
        <f>SUM(AF23:AK23)</f>
        <v>13.489999999999998</v>
      </c>
      <c r="AN22" s="27">
        <f>SUM(AF24:AK24)</f>
        <v>14.059999999999999</v>
      </c>
      <c r="AO22" s="30">
        <f>(AL22+AM22+AN22)/3</f>
        <v>14.01</v>
      </c>
      <c r="AP22" s="30">
        <f>60/AO22*45</f>
        <v>192.71948608137046</v>
      </c>
      <c r="AR22" s="27">
        <v>6</v>
      </c>
      <c r="AS22" s="27" t="s">
        <v>16</v>
      </c>
      <c r="AT22" s="31">
        <v>45701</v>
      </c>
      <c r="AU22" s="3">
        <v>0.23</v>
      </c>
      <c r="AV22" s="3">
        <v>2.36</v>
      </c>
      <c r="AW22" s="3">
        <v>6.2</v>
      </c>
      <c r="AX22" s="3">
        <v>0.33</v>
      </c>
      <c r="AY22" s="3">
        <v>0.36</v>
      </c>
      <c r="AZ22" s="3">
        <v>5.58</v>
      </c>
      <c r="BA22" s="27">
        <f>SUM(AU22:AZ22)</f>
        <v>15.059999999999999</v>
      </c>
      <c r="BB22" s="27">
        <f>SUM(AU23:AZ23)</f>
        <v>14.47</v>
      </c>
      <c r="BC22" s="27">
        <f>SUM(AU24:AZ24)</f>
        <v>14.370000000000001</v>
      </c>
      <c r="BD22" s="30">
        <f>(BA22+BB22+BC22)/3</f>
        <v>14.633333333333335</v>
      </c>
    </row>
    <row r="23" spans="1:56" x14ac:dyDescent="0.3">
      <c r="A23" s="44"/>
      <c r="B23" s="29"/>
      <c r="C23" s="29"/>
      <c r="D23" s="3">
        <v>0.15</v>
      </c>
      <c r="E23" s="3">
        <v>2.02</v>
      </c>
      <c r="F23" s="3">
        <v>6.42</v>
      </c>
      <c r="G23" s="3">
        <v>0.31</v>
      </c>
      <c r="H23" s="3">
        <v>0.37</v>
      </c>
      <c r="I23" s="3">
        <v>5.39</v>
      </c>
      <c r="J23" s="3"/>
      <c r="K23" s="3"/>
      <c r="L23" s="3">
        <f>SUM(D23:I23)</f>
        <v>14.66</v>
      </c>
      <c r="M23" s="30"/>
      <c r="N23" s="30"/>
      <c r="AC23" s="28"/>
      <c r="AD23" s="28"/>
      <c r="AE23" s="32"/>
      <c r="AF23" s="3">
        <v>0.17</v>
      </c>
      <c r="AG23" s="3">
        <v>2</v>
      </c>
      <c r="AH23" s="3">
        <v>5.38</v>
      </c>
      <c r="AI23" s="3">
        <v>0.25</v>
      </c>
      <c r="AJ23" s="3">
        <v>0.39</v>
      </c>
      <c r="AK23" s="3">
        <v>5.3</v>
      </c>
      <c r="AL23" s="28"/>
      <c r="AM23" s="28"/>
      <c r="AN23" s="28"/>
      <c r="AO23" s="30"/>
      <c r="AP23" s="30"/>
      <c r="AR23" s="28"/>
      <c r="AS23" s="28"/>
      <c r="AT23" s="32"/>
      <c r="AU23" s="3">
        <v>0.26</v>
      </c>
      <c r="AV23" s="3">
        <v>2.37</v>
      </c>
      <c r="AW23" s="3">
        <v>5.55</v>
      </c>
      <c r="AX23" s="3">
        <v>0.3</v>
      </c>
      <c r="AY23" s="3">
        <v>0.39</v>
      </c>
      <c r="AZ23" s="3">
        <v>5.6</v>
      </c>
      <c r="BA23" s="28"/>
      <c r="BB23" s="28"/>
      <c r="BC23" s="28"/>
      <c r="BD23" s="30"/>
    </row>
    <row r="24" spans="1:56" x14ac:dyDescent="0.3">
      <c r="A24" s="44">
        <v>7</v>
      </c>
      <c r="B24" s="27" t="s">
        <v>15</v>
      </c>
      <c r="C24" s="34">
        <v>45702</v>
      </c>
      <c r="D24" s="3">
        <v>0.13</v>
      </c>
      <c r="E24" s="3">
        <v>2.3199999999999998</v>
      </c>
      <c r="F24" s="3">
        <v>7.02</v>
      </c>
      <c r="G24" s="3">
        <v>0.3</v>
      </c>
      <c r="H24" s="3">
        <v>0.31</v>
      </c>
      <c r="I24" s="3">
        <v>5.07</v>
      </c>
      <c r="J24" s="3">
        <f>SUM(D24:I24)</f>
        <v>15.15</v>
      </c>
      <c r="K24" s="3"/>
      <c r="L24" s="3"/>
      <c r="M24" s="30">
        <f>(J24+K25+L26)/3</f>
        <v>13.399999999999999</v>
      </c>
      <c r="N24" s="30">
        <f>60/M24*45</f>
        <v>201.49253731343285</v>
      </c>
      <c r="AC24" s="29"/>
      <c r="AD24" s="29"/>
      <c r="AE24" s="33"/>
      <c r="AF24" s="3">
        <v>0.2</v>
      </c>
      <c r="AG24" s="3">
        <v>2.6</v>
      </c>
      <c r="AH24" s="3">
        <v>5.2</v>
      </c>
      <c r="AI24" s="3">
        <v>0.28000000000000003</v>
      </c>
      <c r="AJ24" s="3">
        <v>0.34</v>
      </c>
      <c r="AK24" s="3">
        <v>5.44</v>
      </c>
      <c r="AL24" s="29"/>
      <c r="AM24" s="29"/>
      <c r="AN24" s="29"/>
      <c r="AO24" s="30"/>
      <c r="AP24" s="30"/>
      <c r="AR24" s="29"/>
      <c r="AS24" s="29"/>
      <c r="AT24" s="33"/>
      <c r="AU24" s="3">
        <v>0.23</v>
      </c>
      <c r="AV24" s="3">
        <v>2.48</v>
      </c>
      <c r="AW24" s="3">
        <v>5.48</v>
      </c>
      <c r="AX24" s="3">
        <v>0.32</v>
      </c>
      <c r="AY24" s="3">
        <v>0.36</v>
      </c>
      <c r="AZ24" s="3">
        <v>5.5</v>
      </c>
      <c r="BA24" s="29"/>
      <c r="BB24" s="29"/>
      <c r="BC24" s="29"/>
      <c r="BD24" s="30"/>
    </row>
    <row r="25" spans="1:56" ht="14.4" customHeight="1" x14ac:dyDescent="0.3">
      <c r="A25" s="44"/>
      <c r="B25" s="28"/>
      <c r="C25" s="28"/>
      <c r="D25" s="3">
        <v>0.19</v>
      </c>
      <c r="E25" s="3">
        <v>2.38</v>
      </c>
      <c r="F25" s="3">
        <v>5.36</v>
      </c>
      <c r="G25" s="3">
        <v>0.27</v>
      </c>
      <c r="H25" s="3">
        <v>0.28999999999999998</v>
      </c>
      <c r="I25" s="3">
        <v>4.3</v>
      </c>
      <c r="J25" s="3"/>
      <c r="K25" s="3">
        <f>SUM(D25:I25)</f>
        <v>12.79</v>
      </c>
      <c r="L25" s="3"/>
      <c r="M25" s="30"/>
      <c r="N25" s="30"/>
      <c r="AC25" s="27">
        <v>7</v>
      </c>
      <c r="AD25" s="27" t="s">
        <v>17</v>
      </c>
      <c r="AE25" s="31">
        <v>45701</v>
      </c>
      <c r="AF25" s="3">
        <v>0.2</v>
      </c>
      <c r="AG25" s="3">
        <v>1.54</v>
      </c>
      <c r="AH25" s="3">
        <v>5</v>
      </c>
      <c r="AI25" s="3">
        <v>0.45</v>
      </c>
      <c r="AJ25" s="3">
        <v>0.3</v>
      </c>
      <c r="AK25" s="3">
        <v>5</v>
      </c>
      <c r="AL25" s="27">
        <f>SUM(AF25:AK25)</f>
        <v>12.49</v>
      </c>
      <c r="AM25" s="27">
        <f>SUM(AF26:AK26)</f>
        <v>13.02</v>
      </c>
      <c r="AN25" s="27">
        <f>SUM(AF27:AK27)</f>
        <v>14.51</v>
      </c>
      <c r="AO25" s="30">
        <f>(AL25+AM25+AN25)/3</f>
        <v>13.339999999999998</v>
      </c>
      <c r="AP25" s="30">
        <f>60/AO25*45</f>
        <v>202.39880059970019</v>
      </c>
      <c r="AR25" s="27">
        <v>7</v>
      </c>
      <c r="AS25" s="27" t="s">
        <v>17</v>
      </c>
      <c r="AT25" s="31">
        <v>45701</v>
      </c>
      <c r="AU25" s="3">
        <v>0.22</v>
      </c>
      <c r="AV25" s="3">
        <v>2.25</v>
      </c>
      <c r="AW25" s="3">
        <v>5.32</v>
      </c>
      <c r="AX25" s="3">
        <v>0.45</v>
      </c>
      <c r="AY25" s="3">
        <v>0.33</v>
      </c>
      <c r="AZ25" s="3">
        <v>5.6</v>
      </c>
      <c r="BA25" s="27">
        <f>SUM(AU25:AZ25)</f>
        <v>14.17</v>
      </c>
      <c r="BB25" s="27">
        <f>SUM(AU26:AZ26)</f>
        <v>13.739999999999998</v>
      </c>
      <c r="BC25" s="27">
        <f>SUM(AU27:AZ27)</f>
        <v>14.629999999999999</v>
      </c>
      <c r="BD25" s="30">
        <f>(BA25+BB25+BC25)/3</f>
        <v>14.179999999999998</v>
      </c>
    </row>
    <row r="26" spans="1:56" x14ac:dyDescent="0.3">
      <c r="A26" s="44"/>
      <c r="B26" s="29"/>
      <c r="C26" s="29"/>
      <c r="D26" s="3">
        <v>0.2</v>
      </c>
      <c r="E26" s="3">
        <v>2</v>
      </c>
      <c r="F26" s="3">
        <v>5.0199999999999996</v>
      </c>
      <c r="G26" s="3">
        <v>0.35</v>
      </c>
      <c r="H26" s="3">
        <v>0.24</v>
      </c>
      <c r="I26" s="3">
        <v>4.45</v>
      </c>
      <c r="J26" s="3"/>
      <c r="K26" s="3"/>
      <c r="L26" s="3">
        <f>SUM(D26:I26)</f>
        <v>12.26</v>
      </c>
      <c r="M26" s="30"/>
      <c r="N26" s="30"/>
      <c r="AC26" s="28"/>
      <c r="AD26" s="28"/>
      <c r="AE26" s="32"/>
      <c r="AF26" s="3">
        <v>0.2</v>
      </c>
      <c r="AG26" s="3">
        <v>2</v>
      </c>
      <c r="AH26" s="3">
        <v>5</v>
      </c>
      <c r="AI26" s="3">
        <v>0.28000000000000003</v>
      </c>
      <c r="AJ26" s="3">
        <v>0.28999999999999998</v>
      </c>
      <c r="AK26" s="3">
        <v>5.25</v>
      </c>
      <c r="AL26" s="28"/>
      <c r="AM26" s="28"/>
      <c r="AN26" s="28"/>
      <c r="AO26" s="30"/>
      <c r="AP26" s="30"/>
      <c r="AR26" s="28"/>
      <c r="AS26" s="28"/>
      <c r="AT26" s="32"/>
      <c r="AU26" s="3">
        <v>0.24</v>
      </c>
      <c r="AV26" s="3">
        <v>2.27</v>
      </c>
      <c r="AW26" s="3">
        <v>5.3</v>
      </c>
      <c r="AX26" s="3">
        <v>0.31</v>
      </c>
      <c r="AY26" s="3">
        <v>0.32</v>
      </c>
      <c r="AZ26" s="3">
        <v>5.3</v>
      </c>
      <c r="BA26" s="28"/>
      <c r="BB26" s="28"/>
      <c r="BC26" s="28"/>
      <c r="BD26" s="30"/>
    </row>
    <row r="27" spans="1:56" x14ac:dyDescent="0.3">
      <c r="A27" s="44">
        <v>8</v>
      </c>
      <c r="B27" s="27" t="s">
        <v>16</v>
      </c>
      <c r="C27" s="34">
        <v>45701</v>
      </c>
      <c r="D27" s="3">
        <v>0.18</v>
      </c>
      <c r="E27" s="3">
        <v>2.2200000000000002</v>
      </c>
      <c r="F27" s="3">
        <v>6</v>
      </c>
      <c r="G27" s="3">
        <v>0.24</v>
      </c>
      <c r="H27" s="3">
        <v>0.32</v>
      </c>
      <c r="I27" s="3">
        <v>5.52</v>
      </c>
      <c r="J27" s="3">
        <f>SUM(D27:I27)</f>
        <v>14.48</v>
      </c>
      <c r="K27" s="3"/>
      <c r="L27" s="3"/>
      <c r="M27" s="30">
        <f>(J27+K28+L29)/3</f>
        <v>14.01</v>
      </c>
      <c r="N27" s="30">
        <f>60/M27*45</f>
        <v>192.71948608137046</v>
      </c>
      <c r="AC27" s="29"/>
      <c r="AD27" s="29"/>
      <c r="AE27" s="33"/>
      <c r="AF27" s="3">
        <v>0.15</v>
      </c>
      <c r="AG27" s="3">
        <v>2.34</v>
      </c>
      <c r="AH27" s="3">
        <v>6</v>
      </c>
      <c r="AI27" s="3">
        <v>0.25</v>
      </c>
      <c r="AJ27" s="3">
        <v>0.28000000000000003</v>
      </c>
      <c r="AK27" s="3">
        <v>5.49</v>
      </c>
      <c r="AL27" s="29"/>
      <c r="AM27" s="29"/>
      <c r="AN27" s="29"/>
      <c r="AO27" s="30"/>
      <c r="AP27" s="30"/>
      <c r="AR27" s="29"/>
      <c r="AS27" s="29"/>
      <c r="AT27" s="33"/>
      <c r="AU27" s="3">
        <v>0.2</v>
      </c>
      <c r="AV27" s="3">
        <v>2.34</v>
      </c>
      <c r="AW27" s="3">
        <v>6</v>
      </c>
      <c r="AX27" s="3">
        <v>0.28000000000000003</v>
      </c>
      <c r="AY27" s="3">
        <v>0.31</v>
      </c>
      <c r="AZ27" s="3">
        <v>5.5</v>
      </c>
      <c r="BA27" s="29"/>
      <c r="BB27" s="29"/>
      <c r="BC27" s="29"/>
      <c r="BD27" s="30"/>
    </row>
    <row r="28" spans="1:56" ht="14.4" customHeight="1" x14ac:dyDescent="0.3">
      <c r="A28" s="44"/>
      <c r="B28" s="28"/>
      <c r="C28" s="28"/>
      <c r="D28" s="3">
        <v>0.17</v>
      </c>
      <c r="E28" s="3">
        <v>2</v>
      </c>
      <c r="F28" s="3">
        <v>5.38</v>
      </c>
      <c r="G28" s="3">
        <v>0.25</v>
      </c>
      <c r="H28" s="3">
        <v>0.39</v>
      </c>
      <c r="I28" s="3">
        <v>5.3</v>
      </c>
      <c r="J28" s="3"/>
      <c r="K28" s="3">
        <f>SUM(D28:I28)</f>
        <v>13.489999999999998</v>
      </c>
      <c r="L28" s="3"/>
      <c r="M28" s="30"/>
      <c r="N28" s="30"/>
      <c r="AC28" s="27">
        <v>8</v>
      </c>
      <c r="AD28" s="27" t="s">
        <v>18</v>
      </c>
      <c r="AE28" s="31">
        <v>45701</v>
      </c>
      <c r="AF28" s="3">
        <v>0.18</v>
      </c>
      <c r="AG28" s="3">
        <v>2.0699999999999998</v>
      </c>
      <c r="AH28" s="3">
        <v>5.13</v>
      </c>
      <c r="AI28" s="3">
        <v>0.2</v>
      </c>
      <c r="AJ28" s="3">
        <v>0.27</v>
      </c>
      <c r="AK28" s="3">
        <v>5.45</v>
      </c>
      <c r="AL28" s="27">
        <f>SUM(AF28:AK28)</f>
        <v>13.3</v>
      </c>
      <c r="AM28" s="27">
        <f>SUM(AF29:AK29)</f>
        <v>13.580000000000002</v>
      </c>
      <c r="AN28" s="27">
        <f>SUM(AF30:AK30)</f>
        <v>13.120000000000001</v>
      </c>
      <c r="AO28" s="30">
        <f>(AL28+AM28+AN28)/3</f>
        <v>13.333333333333334</v>
      </c>
      <c r="AP28" s="30">
        <f>60/AO28*45</f>
        <v>202.5</v>
      </c>
      <c r="AR28" s="27">
        <v>8</v>
      </c>
      <c r="AS28" s="27" t="s">
        <v>18</v>
      </c>
      <c r="AT28" s="31">
        <v>45701</v>
      </c>
      <c r="AU28" s="3">
        <v>0.21</v>
      </c>
      <c r="AV28" s="3">
        <v>2.33</v>
      </c>
      <c r="AW28" s="3">
        <v>5.3</v>
      </c>
      <c r="AX28" s="3">
        <v>0.25</v>
      </c>
      <c r="AY28" s="3">
        <v>0.3</v>
      </c>
      <c r="AZ28" s="3">
        <v>5.5</v>
      </c>
      <c r="BA28" s="27">
        <f>SUM(AU28:AZ28)</f>
        <v>13.89</v>
      </c>
      <c r="BB28" s="27">
        <f>SUM(AU29:AZ29)</f>
        <v>14.08</v>
      </c>
      <c r="BC28" s="27">
        <f>SUM(AU30:AZ30)</f>
        <v>13.81</v>
      </c>
      <c r="BD28" s="30">
        <f>(BA28+BB28+BC28)/3</f>
        <v>13.926666666666668</v>
      </c>
    </row>
    <row r="29" spans="1:56" x14ac:dyDescent="0.3">
      <c r="A29" s="44"/>
      <c r="B29" s="29"/>
      <c r="C29" s="29"/>
      <c r="D29" s="3">
        <v>0.2</v>
      </c>
      <c r="E29" s="3">
        <v>2.6</v>
      </c>
      <c r="F29" s="3">
        <v>5.2</v>
      </c>
      <c r="G29" s="3">
        <v>0.28000000000000003</v>
      </c>
      <c r="H29" s="3">
        <v>0.34</v>
      </c>
      <c r="I29" s="3">
        <v>5.44</v>
      </c>
      <c r="J29" s="3"/>
      <c r="K29" s="3"/>
      <c r="L29" s="3">
        <f>SUM(D29:I29)</f>
        <v>14.059999999999999</v>
      </c>
      <c r="M29" s="30"/>
      <c r="N29" s="30"/>
      <c r="AC29" s="28"/>
      <c r="AD29" s="28"/>
      <c r="AE29" s="32"/>
      <c r="AF29" s="3">
        <v>0.15</v>
      </c>
      <c r="AG29" s="3">
        <v>2.15</v>
      </c>
      <c r="AH29" s="3">
        <v>5.46</v>
      </c>
      <c r="AI29" s="3">
        <v>0.3</v>
      </c>
      <c r="AJ29" s="3">
        <v>0.32</v>
      </c>
      <c r="AK29" s="3">
        <v>5.2</v>
      </c>
      <c r="AL29" s="28"/>
      <c r="AM29" s="28"/>
      <c r="AN29" s="28"/>
      <c r="AO29" s="30"/>
      <c r="AP29" s="30"/>
      <c r="AR29" s="28"/>
      <c r="AS29" s="28"/>
      <c r="AT29" s="32"/>
      <c r="AU29" s="3">
        <v>0.2</v>
      </c>
      <c r="AV29" s="3">
        <v>2.2999999999999998</v>
      </c>
      <c r="AW29" s="3">
        <v>5.5</v>
      </c>
      <c r="AX29" s="3">
        <v>0.32</v>
      </c>
      <c r="AY29" s="3">
        <v>0.35</v>
      </c>
      <c r="AZ29" s="3">
        <v>5.41</v>
      </c>
      <c r="BA29" s="28"/>
      <c r="BB29" s="28"/>
      <c r="BC29" s="28"/>
      <c r="BD29" s="30"/>
    </row>
    <row r="30" spans="1:56" x14ac:dyDescent="0.3">
      <c r="A30" s="44">
        <v>9</v>
      </c>
      <c r="B30" s="27" t="s">
        <v>17</v>
      </c>
      <c r="C30" s="34">
        <v>45701</v>
      </c>
      <c r="D30" s="3">
        <v>0.2</v>
      </c>
      <c r="E30" s="3">
        <v>1.54</v>
      </c>
      <c r="F30" s="3">
        <v>5</v>
      </c>
      <c r="G30" s="3">
        <v>0.45</v>
      </c>
      <c r="H30" s="3">
        <v>0.3</v>
      </c>
      <c r="I30" s="3">
        <v>5</v>
      </c>
      <c r="J30" s="3">
        <f>SUM(D30:I30)</f>
        <v>12.49</v>
      </c>
      <c r="K30" s="3"/>
      <c r="L30" s="3"/>
      <c r="M30" s="30">
        <f>(J30+K31+L32)/3</f>
        <v>13.339999999999998</v>
      </c>
      <c r="N30" s="30">
        <f>60/M30*45</f>
        <v>202.39880059970019</v>
      </c>
      <c r="AC30" s="29"/>
      <c r="AD30" s="29"/>
      <c r="AE30" s="33"/>
      <c r="AF30" s="3">
        <v>0.2</v>
      </c>
      <c r="AG30" s="3">
        <v>2</v>
      </c>
      <c r="AH30" s="3">
        <v>5.14</v>
      </c>
      <c r="AI30" s="3">
        <v>0.2</v>
      </c>
      <c r="AJ30" s="3">
        <v>0.26</v>
      </c>
      <c r="AK30" s="3">
        <v>5.32</v>
      </c>
      <c r="AL30" s="29"/>
      <c r="AM30" s="29"/>
      <c r="AN30" s="29"/>
      <c r="AO30" s="30"/>
      <c r="AP30" s="30"/>
      <c r="AR30" s="29"/>
      <c r="AS30" s="29"/>
      <c r="AT30" s="33"/>
      <c r="AU30" s="3">
        <v>0.22</v>
      </c>
      <c r="AV30" s="3">
        <v>2.3199999999999998</v>
      </c>
      <c r="AW30" s="3">
        <v>5.25</v>
      </c>
      <c r="AX30" s="3">
        <v>0.3</v>
      </c>
      <c r="AY30" s="3">
        <v>0.32</v>
      </c>
      <c r="AZ30" s="3">
        <v>5.4</v>
      </c>
      <c r="BA30" s="29"/>
      <c r="BB30" s="29"/>
      <c r="BC30" s="29"/>
      <c r="BD30" s="30"/>
    </row>
    <row r="31" spans="1:56" ht="14.4" customHeight="1" x14ac:dyDescent="0.3">
      <c r="A31" s="44"/>
      <c r="B31" s="28"/>
      <c r="C31" s="28"/>
      <c r="D31" s="3">
        <v>0.2</v>
      </c>
      <c r="E31" s="3">
        <v>2</v>
      </c>
      <c r="F31" s="3">
        <v>5</v>
      </c>
      <c r="G31" s="3">
        <v>0.28000000000000003</v>
      </c>
      <c r="H31" s="3">
        <v>0.28999999999999998</v>
      </c>
      <c r="I31" s="3">
        <v>5.25</v>
      </c>
      <c r="J31" s="3"/>
      <c r="K31" s="3">
        <f>SUM(D31:I31)</f>
        <v>13.02</v>
      </c>
      <c r="L31" s="3"/>
      <c r="M31" s="30"/>
      <c r="N31" s="30"/>
      <c r="AC31" s="27">
        <v>9</v>
      </c>
      <c r="AD31" s="27" t="s">
        <v>8</v>
      </c>
      <c r="AE31" s="31">
        <v>45701</v>
      </c>
      <c r="AF31" s="3">
        <v>0.24</v>
      </c>
      <c r="AG31" s="3">
        <v>2.37</v>
      </c>
      <c r="AH31" s="3">
        <v>7.27</v>
      </c>
      <c r="AI31" s="3">
        <v>0.3</v>
      </c>
      <c r="AJ31" s="3">
        <v>0.13</v>
      </c>
      <c r="AK31" s="3">
        <v>6</v>
      </c>
      <c r="AL31" s="27">
        <f>SUM(AF31:AK31)</f>
        <v>16.310000000000002</v>
      </c>
      <c r="AM31" s="27">
        <f>SUM(AF32:AK32)</f>
        <v>15.82</v>
      </c>
      <c r="AN31" s="27">
        <f>SUM(AF33:AK33)</f>
        <v>14.91</v>
      </c>
      <c r="AO31" s="30">
        <f>(AL31+AM31+AN31)/3</f>
        <v>15.680000000000001</v>
      </c>
      <c r="AP31" s="30">
        <f>60/AO31*45</f>
        <v>172.19387755102039</v>
      </c>
      <c r="AR31" s="27">
        <v>9</v>
      </c>
      <c r="AS31" s="27" t="s">
        <v>8</v>
      </c>
      <c r="AT31" s="31">
        <v>45701</v>
      </c>
      <c r="AU31" s="3">
        <v>0.25</v>
      </c>
      <c r="AV31" s="3">
        <v>2.37</v>
      </c>
      <c r="AW31" s="22">
        <v>7.27</v>
      </c>
      <c r="AX31" s="3">
        <v>0.32</v>
      </c>
      <c r="AY31" s="3">
        <v>0.3</v>
      </c>
      <c r="AZ31" s="3">
        <v>6</v>
      </c>
      <c r="BA31" s="27">
        <f>SUM(AU31:AZ31)</f>
        <v>16.510000000000002</v>
      </c>
      <c r="BB31" s="27">
        <f>SUM(AU32:AZ32)</f>
        <v>15.600000000000001</v>
      </c>
      <c r="BC31" s="27">
        <f>SUM(AU33:AZ33)</f>
        <v>15.54</v>
      </c>
      <c r="BD31" s="30">
        <f>(BA31+BB31+BC31)/3</f>
        <v>15.883333333333333</v>
      </c>
    </row>
    <row r="32" spans="1:56" x14ac:dyDescent="0.3">
      <c r="A32" s="44"/>
      <c r="B32" s="29"/>
      <c r="C32" s="29"/>
      <c r="D32" s="3">
        <v>0.15</v>
      </c>
      <c r="E32" s="3">
        <v>2.34</v>
      </c>
      <c r="F32" s="3">
        <v>6</v>
      </c>
      <c r="G32" s="3">
        <v>0.25</v>
      </c>
      <c r="H32" s="3">
        <v>0.28000000000000003</v>
      </c>
      <c r="I32" s="3">
        <v>5.49</v>
      </c>
      <c r="J32" s="3"/>
      <c r="K32" s="3"/>
      <c r="L32" s="3">
        <f>SUM(D32:I32)</f>
        <v>14.51</v>
      </c>
      <c r="M32" s="30"/>
      <c r="N32" s="30"/>
      <c r="AC32" s="28"/>
      <c r="AD32" s="28"/>
      <c r="AE32" s="32"/>
      <c r="AF32" s="3">
        <v>0.18</v>
      </c>
      <c r="AG32" s="3">
        <v>2.0099999999999998</v>
      </c>
      <c r="AH32" s="3">
        <v>6.01</v>
      </c>
      <c r="AI32" s="3">
        <v>1.23</v>
      </c>
      <c r="AJ32" s="3">
        <v>0.24</v>
      </c>
      <c r="AK32" s="3">
        <v>6.15</v>
      </c>
      <c r="AL32" s="28"/>
      <c r="AM32" s="28"/>
      <c r="AN32" s="28"/>
      <c r="AO32" s="30"/>
      <c r="AP32" s="30"/>
      <c r="AR32" s="28"/>
      <c r="AS32" s="28"/>
      <c r="AT32" s="32"/>
      <c r="AU32" s="3">
        <v>0.2</v>
      </c>
      <c r="AV32" s="3">
        <v>2.2999999999999998</v>
      </c>
      <c r="AW32" s="3">
        <v>6.3</v>
      </c>
      <c r="AX32" s="3">
        <v>0.31</v>
      </c>
      <c r="AY32" s="3">
        <v>0.28999999999999998</v>
      </c>
      <c r="AZ32" s="3">
        <v>6.2</v>
      </c>
      <c r="BA32" s="28"/>
      <c r="BB32" s="28"/>
      <c r="BC32" s="28"/>
      <c r="BD32" s="30"/>
    </row>
    <row r="33" spans="1:56" x14ac:dyDescent="0.3">
      <c r="A33" s="44">
        <v>10</v>
      </c>
      <c r="B33" s="27" t="s">
        <v>18</v>
      </c>
      <c r="C33" s="34">
        <v>45701</v>
      </c>
      <c r="D33" s="3">
        <v>0.18</v>
      </c>
      <c r="E33" s="3">
        <v>2.0699999999999998</v>
      </c>
      <c r="F33" s="3">
        <v>5.13</v>
      </c>
      <c r="G33" s="3">
        <v>0.2</v>
      </c>
      <c r="H33" s="3">
        <v>0.27</v>
      </c>
      <c r="I33" s="3">
        <v>5.45</v>
      </c>
      <c r="J33" s="3">
        <f>SUM(D33:I33)</f>
        <v>13.3</v>
      </c>
      <c r="K33" s="3"/>
      <c r="L33" s="3"/>
      <c r="M33" s="46">
        <f>(J33+K34+L35)/3</f>
        <v>13.333333333333334</v>
      </c>
      <c r="N33" s="30">
        <f>60/M33*45</f>
        <v>202.5</v>
      </c>
      <c r="AC33" s="29"/>
      <c r="AD33" s="29"/>
      <c r="AE33" s="33"/>
      <c r="AF33" s="3">
        <v>0.2</v>
      </c>
      <c r="AG33" s="3">
        <v>2.0299999999999998</v>
      </c>
      <c r="AH33" s="3">
        <v>6.1</v>
      </c>
      <c r="AI33" s="3">
        <v>0.2</v>
      </c>
      <c r="AJ33" s="3">
        <v>0.18</v>
      </c>
      <c r="AK33" s="3">
        <v>6.2</v>
      </c>
      <c r="AL33" s="29"/>
      <c r="AM33" s="29"/>
      <c r="AN33" s="29"/>
      <c r="AO33" s="30"/>
      <c r="AP33" s="30"/>
      <c r="AR33" s="29"/>
      <c r="AS33" s="29"/>
      <c r="AT33" s="33"/>
      <c r="AU33" s="3">
        <v>0.21</v>
      </c>
      <c r="AV33" s="3">
        <v>2.31</v>
      </c>
      <c r="AW33" s="3">
        <v>6.21</v>
      </c>
      <c r="AX33" s="3">
        <v>0.28999999999999998</v>
      </c>
      <c r="AY33" s="3">
        <v>0.27</v>
      </c>
      <c r="AZ33" s="3">
        <v>6.25</v>
      </c>
      <c r="BA33" s="29"/>
      <c r="BB33" s="29"/>
      <c r="BC33" s="29"/>
      <c r="BD33" s="30"/>
    </row>
    <row r="34" spans="1:56" ht="14.4" customHeight="1" x14ac:dyDescent="0.3">
      <c r="A34" s="44"/>
      <c r="B34" s="28"/>
      <c r="C34" s="28"/>
      <c r="D34" s="3">
        <v>0.15</v>
      </c>
      <c r="E34" s="3">
        <v>2.15</v>
      </c>
      <c r="F34" s="3">
        <v>5.46</v>
      </c>
      <c r="G34" s="3">
        <v>0.3</v>
      </c>
      <c r="H34" s="3">
        <v>0.32</v>
      </c>
      <c r="I34" s="3">
        <v>5.2</v>
      </c>
      <c r="J34" s="3"/>
      <c r="K34" s="3">
        <f>SUM(D34:I34)</f>
        <v>13.580000000000002</v>
      </c>
      <c r="L34" s="3"/>
      <c r="M34" s="46"/>
      <c r="N34" s="30"/>
      <c r="AC34" s="27">
        <v>10</v>
      </c>
      <c r="AD34" s="27" t="s">
        <v>10</v>
      </c>
      <c r="AE34" s="31">
        <v>45701</v>
      </c>
      <c r="AF34" s="3">
        <v>0.2</v>
      </c>
      <c r="AG34" s="3">
        <v>1.47</v>
      </c>
      <c r="AH34" s="3">
        <v>7.05</v>
      </c>
      <c r="AI34" s="3">
        <v>0.25</v>
      </c>
      <c r="AJ34" s="3">
        <v>0.24</v>
      </c>
      <c r="AK34" s="3">
        <v>7.11</v>
      </c>
      <c r="AL34" s="27">
        <f>SUM(AF34:AK34)</f>
        <v>16.32</v>
      </c>
      <c r="AM34" s="27">
        <f>SUM(AF35:AK35)</f>
        <v>15.8</v>
      </c>
      <c r="AN34" s="27">
        <f>SUM(AF36:AK36)</f>
        <v>15.579999999999998</v>
      </c>
      <c r="AO34" s="30">
        <f>(AL34+AM34+AN34)/3</f>
        <v>15.9</v>
      </c>
      <c r="AP34" s="30">
        <f>60/AO34*45</f>
        <v>169.81132075471697</v>
      </c>
      <c r="AR34" s="27">
        <v>10</v>
      </c>
      <c r="AS34" s="27" t="s">
        <v>10</v>
      </c>
      <c r="AT34" s="31">
        <v>45701</v>
      </c>
      <c r="AU34" s="3">
        <v>0.23</v>
      </c>
      <c r="AV34" s="3">
        <v>2.2999999999999998</v>
      </c>
      <c r="AW34" s="3">
        <v>7.12</v>
      </c>
      <c r="AX34" s="3">
        <v>0.3</v>
      </c>
      <c r="AY34" s="3">
        <v>0.28999999999999998</v>
      </c>
      <c r="AZ34" s="3">
        <v>7.15</v>
      </c>
      <c r="BA34" s="27">
        <f>SUM(AU34:AZ34)</f>
        <v>17.39</v>
      </c>
      <c r="BB34" s="27">
        <f>SUM(AU35:AZ35)</f>
        <v>16.189999999999998</v>
      </c>
      <c r="BC34" s="27">
        <f>SUM(AU36:AZ36)</f>
        <v>16.82</v>
      </c>
      <c r="BD34" s="30">
        <f>(BA34+BB34+BC34)/3</f>
        <v>16.8</v>
      </c>
    </row>
    <row r="35" spans="1:56" x14ac:dyDescent="0.3">
      <c r="A35" s="44"/>
      <c r="B35" s="29"/>
      <c r="C35" s="29"/>
      <c r="D35" s="3">
        <v>0.2</v>
      </c>
      <c r="E35" s="3">
        <v>2</v>
      </c>
      <c r="F35" s="3">
        <v>5.14</v>
      </c>
      <c r="G35" s="3">
        <v>0.2</v>
      </c>
      <c r="H35" s="3">
        <v>0.26</v>
      </c>
      <c r="I35" s="3">
        <v>5.32</v>
      </c>
      <c r="J35" s="3"/>
      <c r="K35" s="3"/>
      <c r="L35" s="3">
        <f>SUM(D35:I35)</f>
        <v>13.120000000000001</v>
      </c>
      <c r="M35" s="46"/>
      <c r="N35" s="30"/>
      <c r="AC35" s="28"/>
      <c r="AD35" s="28"/>
      <c r="AE35" s="32"/>
      <c r="AF35" s="3">
        <v>0.23</v>
      </c>
      <c r="AG35" s="3">
        <v>2.23</v>
      </c>
      <c r="AH35" s="3">
        <v>7.45</v>
      </c>
      <c r="AI35" s="3">
        <v>0.27</v>
      </c>
      <c r="AJ35" s="3">
        <v>0.32</v>
      </c>
      <c r="AK35" s="3">
        <v>5.3</v>
      </c>
      <c r="AL35" s="28"/>
      <c r="AM35" s="28"/>
      <c r="AN35" s="28"/>
      <c r="AO35" s="30"/>
      <c r="AP35" s="30"/>
      <c r="AR35" s="28"/>
      <c r="AS35" s="28"/>
      <c r="AT35" s="32"/>
      <c r="AU35" s="3">
        <v>0.25</v>
      </c>
      <c r="AV35" s="3">
        <v>2.34</v>
      </c>
      <c r="AW35" s="3">
        <v>7.45</v>
      </c>
      <c r="AX35" s="3">
        <v>0.3</v>
      </c>
      <c r="AY35" s="3">
        <v>0.35</v>
      </c>
      <c r="AZ35" s="3">
        <v>5.5</v>
      </c>
      <c r="BA35" s="28"/>
      <c r="BB35" s="28"/>
      <c r="BC35" s="28"/>
      <c r="BD35" s="30"/>
    </row>
    <row r="36" spans="1:56" x14ac:dyDescent="0.3">
      <c r="A36" s="44">
        <v>11</v>
      </c>
      <c r="B36" s="27" t="s">
        <v>30</v>
      </c>
      <c r="C36" s="34">
        <v>45695</v>
      </c>
      <c r="D36" s="3">
        <v>0.22</v>
      </c>
      <c r="E36" s="3">
        <v>2.1</v>
      </c>
      <c r="F36" s="3">
        <v>6</v>
      </c>
      <c r="G36" s="3">
        <v>0.25</v>
      </c>
      <c r="H36" s="3">
        <v>0.3</v>
      </c>
      <c r="I36" s="3">
        <v>5.55</v>
      </c>
      <c r="J36" s="3">
        <f>SUM(D36:I36)</f>
        <v>14.420000000000002</v>
      </c>
      <c r="K36" s="3"/>
      <c r="L36" s="3"/>
      <c r="M36" s="30">
        <f>(J36+K37+L38)/3</f>
        <v>13.780000000000001</v>
      </c>
      <c r="N36" s="30">
        <f>60/M36*45</f>
        <v>195.93613933236574</v>
      </c>
      <c r="AC36" s="29"/>
      <c r="AD36" s="29"/>
      <c r="AE36" s="33"/>
      <c r="AF36" s="3">
        <v>0.19</v>
      </c>
      <c r="AG36" s="3">
        <v>1.53</v>
      </c>
      <c r="AH36" s="3">
        <v>7.3</v>
      </c>
      <c r="AI36" s="3">
        <v>0.28000000000000003</v>
      </c>
      <c r="AJ36" s="3">
        <v>0.28000000000000003</v>
      </c>
      <c r="AK36" s="3">
        <v>6</v>
      </c>
      <c r="AL36" s="29"/>
      <c r="AM36" s="29"/>
      <c r="AN36" s="29"/>
      <c r="AO36" s="30"/>
      <c r="AP36" s="30"/>
      <c r="AR36" s="29"/>
      <c r="AS36" s="29"/>
      <c r="AT36" s="33"/>
      <c r="AU36" s="3">
        <v>0.23</v>
      </c>
      <c r="AV36" s="3">
        <v>2.2799999999999998</v>
      </c>
      <c r="AW36" s="3">
        <v>7.5</v>
      </c>
      <c r="AX36" s="3">
        <v>0.3</v>
      </c>
      <c r="AY36" s="3">
        <v>0.31</v>
      </c>
      <c r="AZ36" s="3">
        <v>6.2</v>
      </c>
      <c r="BA36" s="29"/>
      <c r="BB36" s="29"/>
      <c r="BC36" s="29"/>
      <c r="BD36" s="30"/>
    </row>
    <row r="37" spans="1:56" ht="14.4" customHeight="1" x14ac:dyDescent="0.3">
      <c r="A37" s="44"/>
      <c r="B37" s="28"/>
      <c r="C37" s="28"/>
      <c r="D37" s="3">
        <v>0.16</v>
      </c>
      <c r="E37" s="3">
        <v>2.15</v>
      </c>
      <c r="F37" s="3">
        <v>5.5</v>
      </c>
      <c r="G37" s="3">
        <v>0.26</v>
      </c>
      <c r="H37" s="3">
        <v>0.32</v>
      </c>
      <c r="I37" s="3">
        <v>5.5</v>
      </c>
      <c r="J37" s="3"/>
      <c r="K37" s="3">
        <f>SUM(D37:I37)</f>
        <v>13.89</v>
      </c>
      <c r="L37" s="3"/>
      <c r="M37" s="30"/>
      <c r="N37" s="30"/>
      <c r="AC37" s="27">
        <v>11</v>
      </c>
      <c r="AD37" s="27" t="s">
        <v>14</v>
      </c>
      <c r="AE37" s="31">
        <v>45702</v>
      </c>
      <c r="AF37" s="3">
        <v>0.12</v>
      </c>
      <c r="AG37" s="3">
        <v>2.1800000000000002</v>
      </c>
      <c r="AH37" s="3">
        <v>6.55</v>
      </c>
      <c r="AI37" s="3">
        <v>1.19</v>
      </c>
      <c r="AJ37" s="3">
        <v>0.28999999999999998</v>
      </c>
      <c r="AK37" s="3">
        <v>5</v>
      </c>
      <c r="AL37" s="27">
        <f>SUM(AF37:AK37)</f>
        <v>15.329999999999998</v>
      </c>
      <c r="AM37" s="27">
        <f>SUM(AF38:AK38)</f>
        <v>14.079999999999998</v>
      </c>
      <c r="AN37" s="27">
        <f>SUM(AF39:AK39)</f>
        <v>14.370000000000001</v>
      </c>
      <c r="AO37" s="30">
        <f>(AL37+AM37+AN37)/3</f>
        <v>14.593333333333334</v>
      </c>
      <c r="AP37" s="30">
        <f>60/AO37*45</f>
        <v>185.01598903608954</v>
      </c>
      <c r="AR37" s="27">
        <v>11</v>
      </c>
      <c r="AS37" s="27" t="s">
        <v>14</v>
      </c>
      <c r="AT37" s="31">
        <v>45702</v>
      </c>
      <c r="AU37" s="3">
        <v>0.2</v>
      </c>
      <c r="AV37" s="3">
        <v>2.3199999999999998</v>
      </c>
      <c r="AW37" s="3">
        <v>6.55</v>
      </c>
      <c r="AX37" s="3">
        <v>0.32</v>
      </c>
      <c r="AY37" s="3">
        <v>0.32</v>
      </c>
      <c r="AZ37" s="3">
        <v>5.6</v>
      </c>
      <c r="BA37" s="27">
        <f>SUM(AU37:AZ37)</f>
        <v>15.31</v>
      </c>
      <c r="BB37" s="27">
        <f>SUM(AU38:AZ38)</f>
        <v>15.599999999999998</v>
      </c>
      <c r="BC37" s="27">
        <f>SUM(AU39:AZ39)</f>
        <v>14.98</v>
      </c>
      <c r="BD37" s="30">
        <f>(BA37+BB37+BC37)/3</f>
        <v>15.296666666666667</v>
      </c>
    </row>
    <row r="38" spans="1:56" x14ac:dyDescent="0.3">
      <c r="A38" s="44"/>
      <c r="B38" s="29"/>
      <c r="C38" s="29"/>
      <c r="D38" s="3">
        <v>0.18</v>
      </c>
      <c r="E38" s="3">
        <v>2</v>
      </c>
      <c r="F38" s="3">
        <v>5.2</v>
      </c>
      <c r="G38" s="3">
        <v>0.28999999999999998</v>
      </c>
      <c r="H38" s="3">
        <v>0.36</v>
      </c>
      <c r="I38" s="3">
        <v>5</v>
      </c>
      <c r="J38" s="3"/>
      <c r="K38" s="3"/>
      <c r="L38" s="3">
        <f>SUM(D38:I38)</f>
        <v>13.030000000000001</v>
      </c>
      <c r="M38" s="30"/>
      <c r="N38" s="30"/>
      <c r="AC38" s="28"/>
      <c r="AD38" s="28"/>
      <c r="AE38" s="32"/>
      <c r="AF38" s="3">
        <v>0.3</v>
      </c>
      <c r="AG38" s="3">
        <v>2.15</v>
      </c>
      <c r="AH38" s="3">
        <v>6.3</v>
      </c>
      <c r="AI38" s="3">
        <v>0.45</v>
      </c>
      <c r="AJ38" s="3">
        <v>0.32</v>
      </c>
      <c r="AK38" s="3">
        <v>4.5599999999999996</v>
      </c>
      <c r="AL38" s="28"/>
      <c r="AM38" s="28"/>
      <c r="AN38" s="28"/>
      <c r="AO38" s="30"/>
      <c r="AP38" s="30"/>
      <c r="AR38" s="28"/>
      <c r="AS38" s="28"/>
      <c r="AT38" s="32"/>
      <c r="AU38" s="3">
        <v>0.23</v>
      </c>
      <c r="AV38" s="3">
        <v>2.2799999999999998</v>
      </c>
      <c r="AW38" s="3">
        <v>6.5</v>
      </c>
      <c r="AX38" s="3">
        <v>0.45</v>
      </c>
      <c r="AY38" s="3">
        <v>0.34</v>
      </c>
      <c r="AZ38" s="3">
        <v>5.8</v>
      </c>
      <c r="BA38" s="28"/>
      <c r="BB38" s="28"/>
      <c r="BC38" s="28"/>
      <c r="BD38" s="30"/>
    </row>
    <row r="39" spans="1:56" x14ac:dyDescent="0.3">
      <c r="A39" s="44">
        <v>12</v>
      </c>
      <c r="B39" s="27" t="s">
        <v>31</v>
      </c>
      <c r="C39" s="34">
        <v>45699</v>
      </c>
      <c r="D39" s="3">
        <v>0.25</v>
      </c>
      <c r="E39" s="3">
        <v>2.14</v>
      </c>
      <c r="F39" s="3">
        <v>6</v>
      </c>
      <c r="G39" s="3">
        <v>0.2</v>
      </c>
      <c r="H39" s="3">
        <v>0.26</v>
      </c>
      <c r="I39" s="3">
        <v>4.5599999999999996</v>
      </c>
      <c r="J39" s="3">
        <f>SUM(D39:I39)</f>
        <v>13.41</v>
      </c>
      <c r="K39" s="3"/>
      <c r="L39" s="3"/>
      <c r="M39" s="30">
        <f>(J39+K40+L41)/3</f>
        <v>13.600000000000001</v>
      </c>
      <c r="N39" s="30">
        <f>60/M39*45</f>
        <v>198.52941176470586</v>
      </c>
      <c r="AC39" s="29"/>
      <c r="AD39" s="29"/>
      <c r="AE39" s="33"/>
      <c r="AF39" s="3">
        <v>0.23</v>
      </c>
      <c r="AG39" s="3">
        <v>2.0299999999999998</v>
      </c>
      <c r="AH39" s="3">
        <v>6</v>
      </c>
      <c r="AI39" s="3">
        <v>0.52</v>
      </c>
      <c r="AJ39" s="3">
        <v>0.31</v>
      </c>
      <c r="AK39" s="3">
        <v>5.28</v>
      </c>
      <c r="AL39" s="29"/>
      <c r="AM39" s="29"/>
      <c r="AN39" s="29"/>
      <c r="AO39" s="30"/>
      <c r="AP39" s="30"/>
      <c r="AR39" s="29"/>
      <c r="AS39" s="29"/>
      <c r="AT39" s="33"/>
      <c r="AU39" s="3">
        <v>0.25</v>
      </c>
      <c r="AV39" s="3">
        <v>2.29</v>
      </c>
      <c r="AW39" s="3">
        <v>6.2</v>
      </c>
      <c r="AX39" s="3">
        <v>0.52</v>
      </c>
      <c r="AY39" s="3">
        <v>0.35</v>
      </c>
      <c r="AZ39" s="3">
        <v>5.37</v>
      </c>
      <c r="BA39" s="29"/>
      <c r="BB39" s="29"/>
      <c r="BC39" s="29"/>
      <c r="BD39" s="30"/>
    </row>
    <row r="40" spans="1:56" ht="14.4" customHeight="1" x14ac:dyDescent="0.3">
      <c r="A40" s="44"/>
      <c r="B40" s="28"/>
      <c r="C40" s="28"/>
      <c r="D40" s="3">
        <v>0.2</v>
      </c>
      <c r="E40" s="3">
        <v>2.16</v>
      </c>
      <c r="F40" s="3">
        <v>5.7</v>
      </c>
      <c r="G40" s="3">
        <v>0.25</v>
      </c>
      <c r="H40" s="3">
        <v>0.23</v>
      </c>
      <c r="I40" s="3">
        <v>5.2</v>
      </c>
      <c r="J40" s="3"/>
      <c r="K40" s="3">
        <f>SUM(D40:I40)</f>
        <v>13.740000000000002</v>
      </c>
      <c r="L40" s="3"/>
      <c r="M40" s="30"/>
      <c r="N40" s="30"/>
      <c r="AC40" s="27">
        <v>12</v>
      </c>
      <c r="AD40" s="27" t="s">
        <v>15</v>
      </c>
      <c r="AE40" s="31">
        <v>45702</v>
      </c>
      <c r="AF40" s="3">
        <v>0.13</v>
      </c>
      <c r="AG40" s="3">
        <v>2.3199999999999998</v>
      </c>
      <c r="AH40" s="3">
        <v>6.5</v>
      </c>
      <c r="AI40" s="3">
        <v>0.3</v>
      </c>
      <c r="AJ40" s="3">
        <v>0.31</v>
      </c>
      <c r="AK40" s="3">
        <v>5.07</v>
      </c>
      <c r="AL40" s="27">
        <f>SUM(AF40:AK40)</f>
        <v>14.63</v>
      </c>
      <c r="AM40" s="27">
        <f>SUM(AF41:AK41)</f>
        <v>12.709999999999997</v>
      </c>
      <c r="AN40" s="27">
        <f>SUM(AF42:AK42)</f>
        <v>12.21</v>
      </c>
      <c r="AO40" s="30">
        <f>(AL40+AM40+AN40)/3</f>
        <v>13.183333333333332</v>
      </c>
      <c r="AP40" s="30">
        <f>60/AO40*45</f>
        <v>204.80404551201013</v>
      </c>
      <c r="AR40" s="27">
        <v>12</v>
      </c>
      <c r="AS40" s="27" t="s">
        <v>15</v>
      </c>
      <c r="AT40" s="31">
        <v>45702</v>
      </c>
      <c r="AU40" s="3">
        <v>0.27</v>
      </c>
      <c r="AV40" s="3">
        <v>2.34</v>
      </c>
      <c r="AW40" s="3">
        <v>7.02</v>
      </c>
      <c r="AX40" s="3">
        <v>0.35</v>
      </c>
      <c r="AY40" s="3">
        <v>0.34</v>
      </c>
      <c r="AZ40" s="3">
        <v>5.37</v>
      </c>
      <c r="BA40" s="27">
        <f>SUM(AU40:AZ40)</f>
        <v>15.689999999999998</v>
      </c>
      <c r="BB40" s="27">
        <f>SUM(AU41:AZ41)</f>
        <v>14.72</v>
      </c>
      <c r="BC40" s="27">
        <f>SUM(AU42:AZ42)</f>
        <v>14.88</v>
      </c>
      <c r="BD40" s="30">
        <f>(BA40+BB40+BC40)/3</f>
        <v>15.096666666666666</v>
      </c>
    </row>
    <row r="41" spans="1:56" x14ac:dyDescent="0.3">
      <c r="A41" s="44"/>
      <c r="B41" s="29"/>
      <c r="C41" s="29"/>
      <c r="D41" s="3">
        <v>0.18</v>
      </c>
      <c r="E41" s="3">
        <v>2.2000000000000002</v>
      </c>
      <c r="F41" s="3">
        <v>5.6</v>
      </c>
      <c r="G41" s="3">
        <v>0.27</v>
      </c>
      <c r="H41" s="3">
        <v>0.3</v>
      </c>
      <c r="I41" s="3">
        <v>5.0999999999999996</v>
      </c>
      <c r="J41" s="3"/>
      <c r="K41" s="3"/>
      <c r="L41" s="3">
        <f>SUM(D41:I41)</f>
        <v>13.65</v>
      </c>
      <c r="M41" s="30"/>
      <c r="N41" s="30"/>
      <c r="AC41" s="28"/>
      <c r="AD41" s="28"/>
      <c r="AE41" s="32"/>
      <c r="AF41" s="3">
        <v>0.19</v>
      </c>
      <c r="AG41" s="3">
        <v>2.2999999999999998</v>
      </c>
      <c r="AH41" s="3">
        <v>5.36</v>
      </c>
      <c r="AI41" s="3">
        <v>0.27</v>
      </c>
      <c r="AJ41" s="3">
        <v>0.28999999999999998</v>
      </c>
      <c r="AK41" s="3">
        <v>4.3</v>
      </c>
      <c r="AL41" s="28"/>
      <c r="AM41" s="28"/>
      <c r="AN41" s="28"/>
      <c r="AO41" s="30"/>
      <c r="AP41" s="30"/>
      <c r="AR41" s="28"/>
      <c r="AS41" s="28"/>
      <c r="AT41" s="32"/>
      <c r="AU41" s="3">
        <v>0.26</v>
      </c>
      <c r="AV41" s="3">
        <v>2.38</v>
      </c>
      <c r="AW41" s="3">
        <v>6</v>
      </c>
      <c r="AX41" s="3">
        <v>0.33</v>
      </c>
      <c r="AY41" s="3">
        <v>0.35</v>
      </c>
      <c r="AZ41" s="3">
        <v>5.4</v>
      </c>
      <c r="BA41" s="28"/>
      <c r="BB41" s="28"/>
      <c r="BC41" s="28"/>
      <c r="BD41" s="30"/>
    </row>
    <row r="42" spans="1:56" x14ac:dyDescent="0.3">
      <c r="M42" s="11">
        <f>SUM(M6:M41)/12</f>
        <v>14.086666666666668</v>
      </c>
      <c r="N42" s="12">
        <f>SUM(N6:N41)/12</f>
        <v>192.30305916611277</v>
      </c>
      <c r="AC42" s="29"/>
      <c r="AD42" s="29"/>
      <c r="AE42" s="33"/>
      <c r="AF42" s="3">
        <v>0.2</v>
      </c>
      <c r="AG42" s="3">
        <v>2</v>
      </c>
      <c r="AH42" s="3">
        <v>5.0199999999999996</v>
      </c>
      <c r="AI42" s="3">
        <v>0.3</v>
      </c>
      <c r="AJ42" s="3">
        <v>0.24</v>
      </c>
      <c r="AK42" s="3">
        <v>4.45</v>
      </c>
      <c r="AL42" s="29"/>
      <c r="AM42" s="29"/>
      <c r="AN42" s="29"/>
      <c r="AO42" s="30"/>
      <c r="AP42" s="30"/>
      <c r="AR42" s="29"/>
      <c r="AS42" s="29"/>
      <c r="AT42" s="33"/>
      <c r="AU42" s="3">
        <v>0.25</v>
      </c>
      <c r="AV42" s="3">
        <v>2.35</v>
      </c>
      <c r="AW42" s="3">
        <v>5.5</v>
      </c>
      <c r="AX42" s="3">
        <v>0.4</v>
      </c>
      <c r="AY42" s="3">
        <v>0.38</v>
      </c>
      <c r="AZ42" s="3">
        <v>6</v>
      </c>
      <c r="BA42" s="29"/>
      <c r="BB42" s="29"/>
      <c r="BC42" s="29"/>
      <c r="BD42" s="30"/>
    </row>
    <row r="43" spans="1:56" x14ac:dyDescent="0.3">
      <c r="AO43" s="11">
        <f>SUM(AO7:AO42)/12</f>
        <v>14.068611111111112</v>
      </c>
      <c r="AP43" s="12">
        <f>SUM(AP7:AP42)/12</f>
        <v>192.57901818266086</v>
      </c>
      <c r="BD43" s="11">
        <f>SUM(BD7:BD42)/12</f>
        <v>14.969444444444447</v>
      </c>
    </row>
    <row r="44" spans="1:56" ht="42" x14ac:dyDescent="0.3">
      <c r="A44" s="4"/>
      <c r="B44" s="5" t="s">
        <v>24</v>
      </c>
      <c r="C44" s="8" t="s">
        <v>25</v>
      </c>
      <c r="D44" s="9">
        <v>0.97</v>
      </c>
    </row>
    <row r="45" spans="1:56" ht="28" x14ac:dyDescent="0.3">
      <c r="A45" s="13"/>
      <c r="B45" s="5" t="s">
        <v>36</v>
      </c>
      <c r="C45" s="5"/>
    </row>
  </sheetData>
  <mergeCells count="291">
    <mergeCell ref="AR37:AR39"/>
    <mergeCell ref="AS37:AS39"/>
    <mergeCell ref="AT37:AT39"/>
    <mergeCell ref="BA37:BA39"/>
    <mergeCell ref="BB37:BB39"/>
    <mergeCell ref="BC37:BC39"/>
    <mergeCell ref="BD37:BD39"/>
    <mergeCell ref="AR40:AR42"/>
    <mergeCell ref="AS40:AS42"/>
    <mergeCell ref="AT40:AT42"/>
    <mergeCell ref="BA40:BA42"/>
    <mergeCell ref="BB40:BB42"/>
    <mergeCell ref="BC40:BC42"/>
    <mergeCell ref="BD40:BD42"/>
    <mergeCell ref="AR31:AR33"/>
    <mergeCell ref="AS31:AS33"/>
    <mergeCell ref="AT31:AT33"/>
    <mergeCell ref="BA31:BA33"/>
    <mergeCell ref="BB31:BB33"/>
    <mergeCell ref="BC31:BC33"/>
    <mergeCell ref="BD31:BD33"/>
    <mergeCell ref="AR34:AR36"/>
    <mergeCell ref="AS34:AS36"/>
    <mergeCell ref="AT34:AT36"/>
    <mergeCell ref="BA34:BA36"/>
    <mergeCell ref="BB34:BB36"/>
    <mergeCell ref="BC34:BC36"/>
    <mergeCell ref="BD34:BD36"/>
    <mergeCell ref="AR25:AR27"/>
    <mergeCell ref="AS25:AS27"/>
    <mergeCell ref="AT25:AT27"/>
    <mergeCell ref="BA25:BA27"/>
    <mergeCell ref="BB25:BB27"/>
    <mergeCell ref="BC25:BC27"/>
    <mergeCell ref="BD25:BD27"/>
    <mergeCell ref="AR28:AR30"/>
    <mergeCell ref="AS28:AS30"/>
    <mergeCell ref="AT28:AT30"/>
    <mergeCell ref="BA28:BA30"/>
    <mergeCell ref="BB28:BB30"/>
    <mergeCell ref="BC28:BC30"/>
    <mergeCell ref="BD28:BD30"/>
    <mergeCell ref="AR19:AR21"/>
    <mergeCell ref="AS19:AS21"/>
    <mergeCell ref="AT19:AT21"/>
    <mergeCell ref="BA19:BA21"/>
    <mergeCell ref="BB19:BB21"/>
    <mergeCell ref="BC19:BC21"/>
    <mergeCell ref="BD19:BD21"/>
    <mergeCell ref="AR22:AR24"/>
    <mergeCell ref="AS22:AS24"/>
    <mergeCell ref="AT22:AT24"/>
    <mergeCell ref="BA22:BA24"/>
    <mergeCell ref="BB22:BB24"/>
    <mergeCell ref="BC22:BC24"/>
    <mergeCell ref="BD22:BD24"/>
    <mergeCell ref="AR13:AR15"/>
    <mergeCell ref="AS13:AS15"/>
    <mergeCell ref="AT13:AT15"/>
    <mergeCell ref="BA13:BA15"/>
    <mergeCell ref="BB13:BB15"/>
    <mergeCell ref="BC13:BC15"/>
    <mergeCell ref="BD13:BD15"/>
    <mergeCell ref="AR16:AR18"/>
    <mergeCell ref="AS16:AS18"/>
    <mergeCell ref="AT16:AT18"/>
    <mergeCell ref="BA16:BA18"/>
    <mergeCell ref="BB16:BB18"/>
    <mergeCell ref="BC16:BC18"/>
    <mergeCell ref="BD16:BD18"/>
    <mergeCell ref="BD5:BD6"/>
    <mergeCell ref="AR7:AR9"/>
    <mergeCell ref="AS7:AS9"/>
    <mergeCell ref="AT7:AT9"/>
    <mergeCell ref="BA7:BA9"/>
    <mergeCell ref="BB7:BB9"/>
    <mergeCell ref="BC7:BC9"/>
    <mergeCell ref="BD7:BD9"/>
    <mergeCell ref="AR10:AR12"/>
    <mergeCell ref="AS10:AS12"/>
    <mergeCell ref="AT10:AT12"/>
    <mergeCell ref="BA10:BA12"/>
    <mergeCell ref="BB10:BB12"/>
    <mergeCell ref="BC10:BC12"/>
    <mergeCell ref="BD10:BD12"/>
    <mergeCell ref="AD3:AL3"/>
    <mergeCell ref="AR4:AR6"/>
    <mergeCell ref="AS4:AS6"/>
    <mergeCell ref="AT4:AT6"/>
    <mergeCell ref="AU4:AZ4"/>
    <mergeCell ref="BA4:BC4"/>
    <mergeCell ref="AU5:AU6"/>
    <mergeCell ref="AV5:AV6"/>
    <mergeCell ref="AW5:AW6"/>
    <mergeCell ref="AX5:AX6"/>
    <mergeCell ref="AY5:AY6"/>
    <mergeCell ref="AZ5:AZ6"/>
    <mergeCell ref="BA5:BA6"/>
    <mergeCell ref="BB5:BB6"/>
    <mergeCell ref="BC5:BC6"/>
    <mergeCell ref="AT3:AZ3"/>
    <mergeCell ref="A39:A41"/>
    <mergeCell ref="B39:B41"/>
    <mergeCell ref="M39:M41"/>
    <mergeCell ref="N39:N41"/>
    <mergeCell ref="A36:A38"/>
    <mergeCell ref="B36:B38"/>
    <mergeCell ref="M36:M38"/>
    <mergeCell ref="N36:N38"/>
    <mergeCell ref="C39:C41"/>
    <mergeCell ref="C36:C38"/>
    <mergeCell ref="C3:C5"/>
    <mergeCell ref="C9:C11"/>
    <mergeCell ref="A27:A29"/>
    <mergeCell ref="A30:A32"/>
    <mergeCell ref="A33:A35"/>
    <mergeCell ref="B12:B14"/>
    <mergeCell ref="M12:M14"/>
    <mergeCell ref="B15:B17"/>
    <mergeCell ref="M15:M17"/>
    <mergeCell ref="B30:B32"/>
    <mergeCell ref="M30:M32"/>
    <mergeCell ref="B33:B35"/>
    <mergeCell ref="M33:M35"/>
    <mergeCell ref="B27:B29"/>
    <mergeCell ref="M27:M29"/>
    <mergeCell ref="A18:A20"/>
    <mergeCell ref="B21:B23"/>
    <mergeCell ref="M21:M23"/>
    <mergeCell ref="A21:A23"/>
    <mergeCell ref="A24:A26"/>
    <mergeCell ref="A3:A5"/>
    <mergeCell ref="A6:A8"/>
    <mergeCell ref="A9:A11"/>
    <mergeCell ref="A12:A14"/>
    <mergeCell ref="A15:A17"/>
    <mergeCell ref="B6:B8"/>
    <mergeCell ref="B9:B11"/>
    <mergeCell ref="B3:B5"/>
    <mergeCell ref="N30:N32"/>
    <mergeCell ref="N33:N35"/>
    <mergeCell ref="N6:N8"/>
    <mergeCell ref="N9:N11"/>
    <mergeCell ref="N12:N14"/>
    <mergeCell ref="N15:N17"/>
    <mergeCell ref="N18:N20"/>
    <mergeCell ref="B24:B26"/>
    <mergeCell ref="M24:M26"/>
    <mergeCell ref="B18:B20"/>
    <mergeCell ref="M18:M20"/>
    <mergeCell ref="M9:M11"/>
    <mergeCell ref="C6:C8"/>
    <mergeCell ref="C12:C14"/>
    <mergeCell ref="C15:C17"/>
    <mergeCell ref="C18:C20"/>
    <mergeCell ref="C21:C23"/>
    <mergeCell ref="C30:C32"/>
    <mergeCell ref="C24:C26"/>
    <mergeCell ref="C27:C29"/>
    <mergeCell ref="E1:K1"/>
    <mergeCell ref="E2:K2"/>
    <mergeCell ref="N21:N23"/>
    <mergeCell ref="N24:N26"/>
    <mergeCell ref="N27:N29"/>
    <mergeCell ref="J3:L3"/>
    <mergeCell ref="I4:I5"/>
    <mergeCell ref="D3:I3"/>
    <mergeCell ref="N3:N5"/>
    <mergeCell ref="M4:M5"/>
    <mergeCell ref="M6:M8"/>
    <mergeCell ref="J4:J5"/>
    <mergeCell ref="K4:K5"/>
    <mergeCell ref="L4:L5"/>
    <mergeCell ref="D4:D5"/>
    <mergeCell ref="E4:E5"/>
    <mergeCell ref="F4:F5"/>
    <mergeCell ref="G4:G5"/>
    <mergeCell ref="H4:H5"/>
    <mergeCell ref="C33:C35"/>
    <mergeCell ref="AC7:AC9"/>
    <mergeCell ref="AD7:AD9"/>
    <mergeCell ref="AE7:AE9"/>
    <mergeCell ref="AL7:AL9"/>
    <mergeCell ref="AM7:AM9"/>
    <mergeCell ref="AP4:AP6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AO5:AO6"/>
    <mergeCell ref="AC4:AC6"/>
    <mergeCell ref="AD4:AD6"/>
    <mergeCell ref="AE4:AE6"/>
    <mergeCell ref="AF4:AK4"/>
    <mergeCell ref="AL4:AN4"/>
    <mergeCell ref="AN7:AN9"/>
    <mergeCell ref="AO7:AO9"/>
    <mergeCell ref="AP7:AP9"/>
    <mergeCell ref="AE10:AE12"/>
    <mergeCell ref="AL10:AL12"/>
    <mergeCell ref="AM10:AM12"/>
    <mergeCell ref="AN10:AN12"/>
    <mergeCell ref="AO10:AO12"/>
    <mergeCell ref="AP10:AP12"/>
    <mergeCell ref="AN13:AN15"/>
    <mergeCell ref="AO13:AO15"/>
    <mergeCell ref="AP13:AP15"/>
    <mergeCell ref="AE16:AE18"/>
    <mergeCell ref="AL16:AL18"/>
    <mergeCell ref="AM16:AM18"/>
    <mergeCell ref="AN16:AN18"/>
    <mergeCell ref="AO16:AO18"/>
    <mergeCell ref="AP16:AP18"/>
    <mergeCell ref="AE13:AE15"/>
    <mergeCell ref="AL13:AL15"/>
    <mergeCell ref="AM13:AM15"/>
    <mergeCell ref="AN19:AN21"/>
    <mergeCell ref="AO19:AO21"/>
    <mergeCell ref="AP19:AP21"/>
    <mergeCell ref="AE22:AE24"/>
    <mergeCell ref="AL22:AL24"/>
    <mergeCell ref="AM22:AM24"/>
    <mergeCell ref="AN22:AN24"/>
    <mergeCell ref="AO22:AO24"/>
    <mergeCell ref="AP22:AP24"/>
    <mergeCell ref="AE19:AE21"/>
    <mergeCell ref="AL19:AL21"/>
    <mergeCell ref="AM19:AM21"/>
    <mergeCell ref="AN25:AN27"/>
    <mergeCell ref="AO25:AO27"/>
    <mergeCell ref="AP25:AP27"/>
    <mergeCell ref="AE28:AE30"/>
    <mergeCell ref="AL28:AL30"/>
    <mergeCell ref="AM28:AM30"/>
    <mergeCell ref="AN28:AN30"/>
    <mergeCell ref="AO28:AO30"/>
    <mergeCell ref="AP28:AP30"/>
    <mergeCell ref="AE25:AE27"/>
    <mergeCell ref="AL25:AL27"/>
    <mergeCell ref="AM25:AM27"/>
    <mergeCell ref="AN31:AN33"/>
    <mergeCell ref="AO31:AO33"/>
    <mergeCell ref="AP31:AP33"/>
    <mergeCell ref="AE34:AE36"/>
    <mergeCell ref="AL34:AL36"/>
    <mergeCell ref="AM34:AM36"/>
    <mergeCell ref="AN34:AN36"/>
    <mergeCell ref="AO34:AO36"/>
    <mergeCell ref="AP34:AP36"/>
    <mergeCell ref="AE31:AE33"/>
    <mergeCell ref="AL31:AL33"/>
    <mergeCell ref="AM31:AM33"/>
    <mergeCell ref="AN37:AN39"/>
    <mergeCell ref="AO37:AO39"/>
    <mergeCell ref="AP37:AP39"/>
    <mergeCell ref="AE40:AE42"/>
    <mergeCell ref="AL40:AL42"/>
    <mergeCell ref="AM40:AM42"/>
    <mergeCell ref="AN40:AN42"/>
    <mergeCell ref="AO40:AO42"/>
    <mergeCell ref="AP40:AP42"/>
    <mergeCell ref="AE37:AE39"/>
    <mergeCell ref="AL37:AL39"/>
    <mergeCell ref="AM37:AM39"/>
    <mergeCell ref="AD28:AD30"/>
    <mergeCell ref="AC28:AC30"/>
    <mergeCell ref="AD34:AD36"/>
    <mergeCell ref="AC34:AC36"/>
    <mergeCell ref="AD40:AD42"/>
    <mergeCell ref="AC40:AC42"/>
    <mergeCell ref="AD10:AD12"/>
    <mergeCell ref="AC10:AC12"/>
    <mergeCell ref="AD16:AD18"/>
    <mergeCell ref="AC16:AC18"/>
    <mergeCell ref="AD22:AD24"/>
    <mergeCell ref="AC22:AC24"/>
    <mergeCell ref="AC37:AC39"/>
    <mergeCell ref="AD37:AD39"/>
    <mergeCell ref="AC31:AC33"/>
    <mergeCell ref="AD31:AD33"/>
    <mergeCell ref="AC25:AC27"/>
    <mergeCell ref="AD25:AD27"/>
    <mergeCell ref="AC19:AC21"/>
    <mergeCell ref="AD19:AD21"/>
    <mergeCell ref="AC13:AC15"/>
    <mergeCell ref="AD13:AD15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9459-8875-458C-A3C8-4DBAD2A18D37}">
  <dimension ref="A1:J48"/>
  <sheetViews>
    <sheetView tabSelected="1" zoomScale="70" zoomScaleNormal="70" workbookViewId="0">
      <selection activeCell="H3" sqref="H3:H14"/>
    </sheetView>
  </sheetViews>
  <sheetFormatPr defaultColWidth="8.90625" defaultRowHeight="14.5" x14ac:dyDescent="0.35"/>
  <cols>
    <col min="1" max="1" width="10.54296875" style="10" bestFit="1" customWidth="1"/>
    <col min="2" max="2" width="8.90625" style="10"/>
    <col min="3" max="3" width="12" style="10" customWidth="1"/>
    <col min="4" max="7" width="11.453125" style="10" customWidth="1"/>
    <col min="8" max="8" width="13" style="10" customWidth="1"/>
    <col min="9" max="9" width="12.1796875" style="10" bestFit="1" customWidth="1"/>
    <col min="10" max="10" width="11.54296875" style="10" customWidth="1"/>
    <col min="11" max="16384" width="8.90625" style="10"/>
  </cols>
  <sheetData>
    <row r="1" spans="1:10" x14ac:dyDescent="0.35">
      <c r="A1" s="49" t="s">
        <v>51</v>
      </c>
      <c r="B1" s="49"/>
      <c r="C1" s="49"/>
      <c r="D1" s="49"/>
      <c r="E1" s="49"/>
      <c r="F1" s="49"/>
      <c r="G1" s="49"/>
      <c r="H1" s="49"/>
      <c r="I1" s="18"/>
    </row>
    <row r="2" spans="1:10" ht="42" x14ac:dyDescent="0.35">
      <c r="A2" s="3" t="s">
        <v>26</v>
      </c>
      <c r="B2" s="17" t="s">
        <v>27</v>
      </c>
      <c r="C2" s="17" t="s">
        <v>28</v>
      </c>
      <c r="D2" s="17" t="s">
        <v>33</v>
      </c>
      <c r="E2" s="17" t="s">
        <v>34</v>
      </c>
      <c r="F2" s="17" t="s">
        <v>35</v>
      </c>
      <c r="G2" s="17" t="s">
        <v>41</v>
      </c>
      <c r="H2" s="17" t="s">
        <v>40</v>
      </c>
      <c r="I2" s="5"/>
      <c r="J2" s="14"/>
    </row>
    <row r="3" spans="1:10" ht="14.4" customHeight="1" x14ac:dyDescent="0.35">
      <c r="A3" s="50" t="s">
        <v>29</v>
      </c>
      <c r="B3" s="3">
        <v>416</v>
      </c>
      <c r="C3" s="3">
        <v>198.53</v>
      </c>
      <c r="D3" s="3">
        <v>352</v>
      </c>
      <c r="E3" s="3">
        <v>362</v>
      </c>
      <c r="F3" s="3">
        <v>10</v>
      </c>
      <c r="G3" s="7">
        <f>13.6/60</f>
        <v>0.22666666666666666</v>
      </c>
      <c r="H3" s="7">
        <f>(B$18*B$20)/G3</f>
        <v>133.41176470588238</v>
      </c>
      <c r="I3" s="14"/>
      <c r="J3" s="14"/>
    </row>
    <row r="4" spans="1:10" ht="14.4" customHeight="1" x14ac:dyDescent="0.35">
      <c r="A4" s="32"/>
      <c r="B4" s="3">
        <v>419</v>
      </c>
      <c r="C4" s="3">
        <v>192.72</v>
      </c>
      <c r="D4" s="3">
        <v>356</v>
      </c>
      <c r="E4" s="3">
        <v>367</v>
      </c>
      <c r="F4" s="3">
        <v>11</v>
      </c>
      <c r="G4" s="7">
        <f>14.01/60</f>
        <v>0.23349999999999999</v>
      </c>
      <c r="H4" s="7">
        <f>(B$18*B$20)/G4</f>
        <v>129.50749464668095</v>
      </c>
      <c r="I4" s="14"/>
      <c r="J4" s="14"/>
    </row>
    <row r="5" spans="1:10" x14ac:dyDescent="0.35">
      <c r="A5" s="32"/>
      <c r="B5" s="3">
        <v>420</v>
      </c>
      <c r="C5" s="3">
        <v>202.4</v>
      </c>
      <c r="D5" s="3">
        <v>363</v>
      </c>
      <c r="E5" s="3">
        <v>373</v>
      </c>
      <c r="F5" s="3">
        <v>10</v>
      </c>
      <c r="G5" s="7">
        <f>13.34/60</f>
        <v>0.22233333333333333</v>
      </c>
      <c r="H5" s="7">
        <f>(B$18*B$20)/G5</f>
        <v>136.01199400299851</v>
      </c>
      <c r="I5" s="14"/>
      <c r="J5" s="14"/>
    </row>
    <row r="6" spans="1:10" x14ac:dyDescent="0.35">
      <c r="A6" s="32"/>
      <c r="B6" s="3">
        <v>421</v>
      </c>
      <c r="C6" s="3">
        <v>199.65</v>
      </c>
      <c r="D6" s="3">
        <v>360</v>
      </c>
      <c r="E6" s="3">
        <v>370</v>
      </c>
      <c r="F6" s="3">
        <v>10</v>
      </c>
      <c r="G6" s="7">
        <f>13.52/60</f>
        <v>0.22533333333333333</v>
      </c>
      <c r="H6" s="7">
        <f>(B$18*B$20)/G6</f>
        <v>134.20118343195267</v>
      </c>
      <c r="I6" s="14"/>
      <c r="J6" s="14"/>
    </row>
    <row r="7" spans="1:10" x14ac:dyDescent="0.35">
      <c r="A7" s="32"/>
      <c r="B7" s="3">
        <v>424</v>
      </c>
      <c r="C7" s="3">
        <v>185.02</v>
      </c>
      <c r="D7" s="3">
        <v>440</v>
      </c>
      <c r="E7" s="3">
        <v>451</v>
      </c>
      <c r="F7" s="3">
        <v>11</v>
      </c>
      <c r="G7" s="7">
        <f>14.59/60</f>
        <v>0.24316666666666667</v>
      </c>
      <c r="H7" s="7">
        <f>(B$18*B$20)/G7</f>
        <v>124.35915010281015</v>
      </c>
      <c r="I7" s="14"/>
      <c r="J7" s="14"/>
    </row>
    <row r="8" spans="1:10" x14ac:dyDescent="0.35">
      <c r="A8" s="32"/>
      <c r="B8" s="3">
        <v>425</v>
      </c>
      <c r="C8" s="3">
        <v>201.49</v>
      </c>
      <c r="D8" s="3">
        <v>332</v>
      </c>
      <c r="E8" s="3">
        <v>341</v>
      </c>
      <c r="F8" s="3">
        <v>9</v>
      </c>
      <c r="G8" s="7">
        <f>13.4/60</f>
        <v>0.22333333333333333</v>
      </c>
      <c r="H8" s="7">
        <f>(B$18*B$20)/G8</f>
        <v>135.40298507462688</v>
      </c>
      <c r="I8" s="14"/>
      <c r="J8" s="14"/>
    </row>
    <row r="9" spans="1:10" x14ac:dyDescent="0.35">
      <c r="A9" s="32"/>
      <c r="B9" s="3">
        <v>426</v>
      </c>
      <c r="C9" s="3">
        <v>195.94</v>
      </c>
      <c r="D9" s="3">
        <v>346</v>
      </c>
      <c r="E9" s="3">
        <v>356</v>
      </c>
      <c r="F9" s="3">
        <v>10</v>
      </c>
      <c r="G9" s="7">
        <f>13.78/60</f>
        <v>0.22966666666666666</v>
      </c>
      <c r="H9" s="7">
        <f>(B$18*B$20)/G9</f>
        <v>131.66908563134979</v>
      </c>
      <c r="I9" s="14"/>
      <c r="J9" s="14"/>
    </row>
    <row r="10" spans="1:10" x14ac:dyDescent="0.35">
      <c r="A10" s="32"/>
      <c r="B10" s="3">
        <v>427</v>
      </c>
      <c r="C10" s="3">
        <v>192.72</v>
      </c>
      <c r="D10" s="3">
        <v>345</v>
      </c>
      <c r="E10" s="3">
        <v>356</v>
      </c>
      <c r="F10" s="3">
        <v>11</v>
      </c>
      <c r="G10" s="7">
        <f>14.01/60</f>
        <v>0.23349999999999999</v>
      </c>
      <c r="H10" s="7">
        <f>(B$18*B$20)/G10</f>
        <v>129.50749464668095</v>
      </c>
      <c r="I10" s="14"/>
      <c r="J10" s="14"/>
    </row>
    <row r="11" spans="1:10" x14ac:dyDescent="0.35">
      <c r="A11" s="32"/>
      <c r="B11" s="3">
        <v>429</v>
      </c>
      <c r="C11" s="3">
        <v>194.66</v>
      </c>
      <c r="D11" s="3">
        <v>349</v>
      </c>
      <c r="E11" s="3">
        <v>359</v>
      </c>
      <c r="F11" s="3">
        <v>10</v>
      </c>
      <c r="G11" s="7">
        <f>13.87/60</f>
        <v>0.23116666666666666</v>
      </c>
      <c r="H11" s="7">
        <f>(B$18*B$20)/G11</f>
        <v>130.81470800288395</v>
      </c>
      <c r="I11" s="14"/>
      <c r="J11" s="14"/>
    </row>
    <row r="12" spans="1:10" x14ac:dyDescent="0.35">
      <c r="A12" s="32"/>
      <c r="B12" s="3">
        <v>431</v>
      </c>
      <c r="C12" s="3">
        <v>172.19</v>
      </c>
      <c r="D12" s="3">
        <v>432</v>
      </c>
      <c r="E12" s="3">
        <v>443</v>
      </c>
      <c r="F12" s="3">
        <v>11</v>
      </c>
      <c r="G12" s="7">
        <f>15.68/60</f>
        <v>0.26133333333333331</v>
      </c>
      <c r="H12" s="7">
        <f>(B$18*B$20)/G12</f>
        <v>115.71428571428574</v>
      </c>
      <c r="I12" s="14"/>
      <c r="J12" s="14"/>
    </row>
    <row r="13" spans="1:10" x14ac:dyDescent="0.35">
      <c r="A13" s="32"/>
      <c r="B13" s="3">
        <v>432</v>
      </c>
      <c r="C13" s="3">
        <v>202.5</v>
      </c>
      <c r="D13" s="3">
        <v>372</v>
      </c>
      <c r="E13" s="3">
        <v>381</v>
      </c>
      <c r="F13" s="3">
        <v>9</v>
      </c>
      <c r="G13" s="7">
        <f>13.33/60</f>
        <v>0.22216666666666668</v>
      </c>
      <c r="H13" s="7">
        <f>(B$18*B$20)/G13</f>
        <v>136.11402850712679</v>
      </c>
      <c r="I13" s="14"/>
      <c r="J13" s="14"/>
    </row>
    <row r="14" spans="1:10" x14ac:dyDescent="0.35">
      <c r="A14" s="33"/>
      <c r="B14" s="3">
        <v>433</v>
      </c>
      <c r="C14" s="3">
        <v>169.81</v>
      </c>
      <c r="D14" s="3">
        <v>370</v>
      </c>
      <c r="E14" s="3">
        <v>381</v>
      </c>
      <c r="F14" s="3">
        <v>11</v>
      </c>
      <c r="G14" s="7">
        <f>15.9/60</f>
        <v>0.26500000000000001</v>
      </c>
      <c r="H14" s="7">
        <f>(B$18*B$20)/G14</f>
        <v>114.11320754716981</v>
      </c>
      <c r="I14" s="14"/>
      <c r="J14" s="14"/>
    </row>
    <row r="15" spans="1:10" x14ac:dyDescent="0.35">
      <c r="A15" s="14"/>
      <c r="B15" s="14"/>
      <c r="C15" s="14"/>
      <c r="D15" s="14"/>
      <c r="E15" s="14"/>
      <c r="F15" s="14"/>
      <c r="G15" s="14"/>
      <c r="H15" s="21">
        <f>SUM(H3:H14)/12</f>
        <v>129.23561516787072</v>
      </c>
      <c r="I15" s="14"/>
      <c r="J15" s="14"/>
    </row>
    <row r="16" spans="1:10" x14ac:dyDescent="0.35">
      <c r="A16" s="14"/>
      <c r="B16" s="14"/>
      <c r="C16" s="14"/>
      <c r="D16" s="14"/>
      <c r="E16" s="14"/>
      <c r="F16" s="14"/>
      <c r="G16" s="14"/>
      <c r="H16" s="21"/>
      <c r="I16" s="14"/>
      <c r="J16" s="14"/>
    </row>
    <row r="17" spans="1:10" ht="56" x14ac:dyDescent="0.35">
      <c r="A17" s="16" t="s">
        <v>32</v>
      </c>
      <c r="B17" s="3">
        <v>470</v>
      </c>
      <c r="C17" s="14" t="s">
        <v>49</v>
      </c>
      <c r="D17" s="14"/>
      <c r="E17" s="14"/>
      <c r="F17" s="14"/>
      <c r="G17" s="14"/>
      <c r="H17" s="14"/>
      <c r="I17" s="14"/>
      <c r="J17" s="14"/>
    </row>
    <row r="18" spans="1:10" ht="56" x14ac:dyDescent="0.35">
      <c r="A18" s="16" t="s">
        <v>37</v>
      </c>
      <c r="B18" s="3">
        <v>33.6</v>
      </c>
      <c r="C18" s="14"/>
      <c r="D18" s="14"/>
      <c r="E18" s="14"/>
      <c r="F18" s="14"/>
      <c r="G18" s="14"/>
      <c r="H18" s="14"/>
      <c r="I18" s="14"/>
      <c r="J18" s="14"/>
    </row>
    <row r="19" spans="1:10" ht="28" x14ac:dyDescent="0.35">
      <c r="A19" s="16" t="s">
        <v>38</v>
      </c>
      <c r="B19" s="3">
        <v>7</v>
      </c>
      <c r="C19" s="14"/>
      <c r="D19" s="14"/>
      <c r="E19" s="14"/>
      <c r="F19" s="14"/>
      <c r="G19" s="14"/>
      <c r="H19" s="14"/>
      <c r="I19" s="14"/>
      <c r="J19" s="14"/>
    </row>
    <row r="20" spans="1:10" x14ac:dyDescent="0.35">
      <c r="A20" s="15" t="s">
        <v>39</v>
      </c>
      <c r="B20" s="3">
        <v>0.9</v>
      </c>
      <c r="C20" s="14"/>
      <c r="D20" s="14"/>
      <c r="E20" s="14"/>
      <c r="F20" s="14"/>
      <c r="G20" s="14"/>
      <c r="H20" s="14"/>
      <c r="I20" s="14"/>
      <c r="J20" s="14"/>
    </row>
    <row r="21" spans="1:10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x14ac:dyDescent="0.35">
      <c r="A22" s="14"/>
    </row>
    <row r="23" spans="1:10" ht="15" customHeight="1" x14ac:dyDescent="0.35">
      <c r="A23" s="14"/>
    </row>
    <row r="24" spans="1:10" x14ac:dyDescent="0.35">
      <c r="A24" s="14"/>
    </row>
    <row r="25" spans="1:10" x14ac:dyDescent="0.35">
      <c r="A25" s="14"/>
    </row>
    <row r="26" spans="1:10" x14ac:dyDescent="0.35">
      <c r="A26" s="14"/>
    </row>
    <row r="27" spans="1:10" x14ac:dyDescent="0.35">
      <c r="A27" s="14"/>
    </row>
    <row r="28" spans="1:10" x14ac:dyDescent="0.35">
      <c r="A28" s="14"/>
    </row>
    <row r="29" spans="1:10" x14ac:dyDescent="0.35">
      <c r="A29" s="14"/>
    </row>
    <row r="30" spans="1:10" x14ac:dyDescent="0.35">
      <c r="A30" s="14"/>
    </row>
    <row r="31" spans="1:10" x14ac:dyDescent="0.35">
      <c r="A31" s="14"/>
    </row>
    <row r="32" spans="1:10" x14ac:dyDescent="0.35">
      <c r="A32" s="14"/>
    </row>
    <row r="33" spans="1:1" x14ac:dyDescent="0.35">
      <c r="A33" s="14"/>
    </row>
    <row r="34" spans="1:1" x14ac:dyDescent="0.35">
      <c r="A34" s="14"/>
    </row>
    <row r="35" spans="1:1" x14ac:dyDescent="0.35">
      <c r="A35" s="14"/>
    </row>
    <row r="36" spans="1:1" x14ac:dyDescent="0.35">
      <c r="A36" s="14"/>
    </row>
    <row r="37" spans="1:1" x14ac:dyDescent="0.35">
      <c r="A37" s="14"/>
    </row>
    <row r="38" spans="1:1" x14ac:dyDescent="0.35">
      <c r="A38" s="14"/>
    </row>
    <row r="39" spans="1:1" x14ac:dyDescent="0.35">
      <c r="A39" s="14"/>
    </row>
    <row r="40" spans="1:1" x14ac:dyDescent="0.35">
      <c r="A40" s="14"/>
    </row>
    <row r="41" spans="1:1" x14ac:dyDescent="0.35">
      <c r="A41" s="14"/>
    </row>
    <row r="42" spans="1:1" x14ac:dyDescent="0.35">
      <c r="A42" s="14"/>
    </row>
    <row r="43" spans="1:1" x14ac:dyDescent="0.35">
      <c r="A43" s="14"/>
    </row>
    <row r="44" spans="1:1" x14ac:dyDescent="0.35">
      <c r="A44" s="14"/>
    </row>
    <row r="45" spans="1:1" x14ac:dyDescent="0.35">
      <c r="A45" s="14"/>
    </row>
    <row r="46" spans="1:1" x14ac:dyDescent="0.35">
      <c r="A46" s="14"/>
    </row>
    <row r="47" spans="1:1" x14ac:dyDescent="0.35">
      <c r="A47" s="14"/>
    </row>
    <row r="48" spans="1:1" x14ac:dyDescent="0.35">
      <c r="A48" s="14"/>
    </row>
  </sheetData>
  <sortState xmlns:xlrd2="http://schemas.microsoft.com/office/spreadsheetml/2017/richdata2" ref="A3:H15">
    <sortCondition ref="B3:B15"/>
  </sortState>
  <mergeCells count="2">
    <mergeCell ref="A1:H1"/>
    <mergeCell ref="A3:A14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A86C-6C6A-4A9C-B050-C26783C7CFD5}">
  <dimension ref="A1:GF53"/>
  <sheetViews>
    <sheetView zoomScale="85" zoomScaleNormal="85" workbookViewId="0">
      <selection activeCell="G4" sqref="G4"/>
    </sheetView>
  </sheetViews>
  <sheetFormatPr defaultColWidth="8.90625" defaultRowHeight="14.5" x14ac:dyDescent="0.35"/>
  <cols>
    <col min="1" max="1" width="8.90625" style="10"/>
    <col min="2" max="2" width="9.81640625" style="10" customWidth="1"/>
    <col min="3" max="74" width="8.90625" style="10"/>
    <col min="75" max="75" width="10.6328125" style="10" customWidth="1"/>
    <col min="76" max="16384" width="8.90625" style="10"/>
  </cols>
  <sheetData>
    <row r="1" spans="1:188" x14ac:dyDescent="0.35">
      <c r="A1" s="53">
        <v>45689</v>
      </c>
      <c r="B1" s="54"/>
      <c r="C1" s="54"/>
      <c r="D1" s="54"/>
      <c r="E1" s="54"/>
      <c r="F1" s="54"/>
      <c r="H1" s="53">
        <v>45690</v>
      </c>
      <c r="I1" s="54"/>
      <c r="J1" s="54"/>
      <c r="K1" s="54"/>
      <c r="L1" s="54"/>
      <c r="M1" s="54"/>
      <c r="O1" s="53">
        <v>45691</v>
      </c>
      <c r="P1" s="54"/>
      <c r="Q1" s="54"/>
      <c r="R1" s="54"/>
      <c r="S1" s="54"/>
      <c r="T1" s="54"/>
      <c r="V1" s="53">
        <v>45692</v>
      </c>
      <c r="W1" s="54"/>
      <c r="X1" s="54"/>
      <c r="Y1" s="54"/>
      <c r="Z1" s="54"/>
      <c r="AA1" s="54"/>
      <c r="AC1" s="53">
        <v>45693</v>
      </c>
      <c r="AD1" s="54"/>
      <c r="AE1" s="54"/>
      <c r="AF1" s="54"/>
      <c r="AG1" s="54"/>
      <c r="AH1" s="54"/>
      <c r="AJ1" s="53">
        <v>45694</v>
      </c>
      <c r="AK1" s="54"/>
      <c r="AL1" s="54"/>
      <c r="AM1" s="54"/>
      <c r="AN1" s="54"/>
      <c r="AO1" s="54"/>
      <c r="AQ1" s="53">
        <v>45695</v>
      </c>
      <c r="AR1" s="54"/>
      <c r="AS1" s="54"/>
      <c r="AT1" s="54"/>
      <c r="AU1" s="54"/>
      <c r="AV1" s="54"/>
      <c r="AX1" s="53">
        <v>45696</v>
      </c>
      <c r="AY1" s="54"/>
      <c r="AZ1" s="54"/>
      <c r="BA1" s="54"/>
      <c r="BB1" s="54"/>
      <c r="BC1" s="54"/>
      <c r="BE1" s="53">
        <v>45697</v>
      </c>
      <c r="BF1" s="54"/>
      <c r="BG1" s="54"/>
      <c r="BH1" s="54"/>
      <c r="BI1" s="54"/>
      <c r="BJ1" s="54"/>
      <c r="BL1" s="53">
        <v>45698</v>
      </c>
      <c r="BM1" s="54"/>
      <c r="BN1" s="54"/>
      <c r="BO1" s="54"/>
      <c r="BP1" s="54"/>
      <c r="BQ1" s="54"/>
      <c r="BS1" s="53">
        <v>45699</v>
      </c>
      <c r="BT1" s="54"/>
      <c r="BU1" s="54"/>
      <c r="BV1" s="54"/>
      <c r="BW1" s="54"/>
      <c r="BX1" s="54"/>
      <c r="BZ1" s="53">
        <v>45700</v>
      </c>
      <c r="CA1" s="54"/>
      <c r="CB1" s="54"/>
      <c r="CC1" s="54"/>
      <c r="CD1" s="54"/>
      <c r="CE1" s="54"/>
      <c r="CG1" s="53">
        <v>45701</v>
      </c>
      <c r="CH1" s="54"/>
      <c r="CI1" s="54"/>
      <c r="CJ1" s="54"/>
      <c r="CK1" s="54"/>
      <c r="CL1" s="54"/>
      <c r="CN1" s="53">
        <v>45702</v>
      </c>
      <c r="CO1" s="54"/>
      <c r="CP1" s="54"/>
      <c r="CQ1" s="54"/>
      <c r="CR1" s="54"/>
      <c r="CS1" s="54"/>
      <c r="CU1" s="53">
        <v>45704</v>
      </c>
      <c r="CV1" s="54"/>
      <c r="CW1" s="54"/>
      <c r="CX1" s="54"/>
      <c r="CY1" s="54"/>
      <c r="CZ1" s="54"/>
      <c r="DB1" s="53">
        <v>45705</v>
      </c>
      <c r="DC1" s="54"/>
      <c r="DD1" s="54"/>
      <c r="DE1" s="54"/>
      <c r="DF1" s="54"/>
      <c r="DG1" s="54"/>
      <c r="DI1" s="53">
        <v>45706</v>
      </c>
      <c r="DJ1" s="54"/>
      <c r="DK1" s="54"/>
      <c r="DL1" s="54"/>
      <c r="DM1" s="54"/>
      <c r="DN1" s="54"/>
      <c r="DP1" s="53">
        <v>45707</v>
      </c>
      <c r="DQ1" s="54"/>
      <c r="DR1" s="54"/>
      <c r="DS1" s="54"/>
      <c r="DT1" s="54"/>
      <c r="DU1" s="54"/>
      <c r="DW1" s="53">
        <v>45708</v>
      </c>
      <c r="DX1" s="54"/>
      <c r="DY1" s="54"/>
      <c r="DZ1" s="54"/>
      <c r="EA1" s="54"/>
      <c r="EB1" s="54"/>
      <c r="ED1" s="53">
        <v>45709</v>
      </c>
      <c r="EE1" s="54"/>
      <c r="EF1" s="54"/>
      <c r="EG1" s="54"/>
      <c r="EH1" s="54"/>
      <c r="EI1" s="54"/>
      <c r="EK1" s="53">
        <v>45710</v>
      </c>
      <c r="EL1" s="54"/>
      <c r="EM1" s="54"/>
      <c r="EN1" s="54"/>
      <c r="EO1" s="54"/>
      <c r="EP1" s="54"/>
      <c r="ER1" s="53">
        <v>45711</v>
      </c>
      <c r="ES1" s="54"/>
      <c r="ET1" s="54"/>
      <c r="EU1" s="54"/>
      <c r="EV1" s="54"/>
      <c r="EW1" s="54"/>
      <c r="EY1" s="53">
        <v>45712</v>
      </c>
      <c r="EZ1" s="54"/>
      <c r="FA1" s="54"/>
      <c r="FB1" s="54"/>
      <c r="FC1" s="54"/>
      <c r="FD1" s="54"/>
      <c r="FF1" s="53">
        <v>45713</v>
      </c>
      <c r="FG1" s="54"/>
      <c r="FH1" s="54"/>
      <c r="FI1" s="54"/>
      <c r="FJ1" s="54"/>
      <c r="FK1" s="54"/>
      <c r="FM1" s="53">
        <v>45714</v>
      </c>
      <c r="FN1" s="54"/>
      <c r="FO1" s="54"/>
      <c r="FP1" s="54"/>
      <c r="FQ1" s="54"/>
      <c r="FR1" s="54"/>
      <c r="FT1" s="53">
        <v>45715</v>
      </c>
      <c r="FU1" s="54"/>
      <c r="FV1" s="54"/>
      <c r="FW1" s="54"/>
      <c r="FX1" s="54"/>
      <c r="FY1" s="54"/>
      <c r="GA1" s="53">
        <v>45716</v>
      </c>
      <c r="GB1" s="54"/>
      <c r="GC1" s="54"/>
      <c r="GD1" s="54"/>
      <c r="GE1" s="54"/>
      <c r="GF1" s="54"/>
    </row>
    <row r="2" spans="1:188" ht="29" x14ac:dyDescent="0.35">
      <c r="A2" s="19" t="s">
        <v>42</v>
      </c>
      <c r="B2" s="19" t="s">
        <v>48</v>
      </c>
      <c r="C2" s="19" t="s">
        <v>47</v>
      </c>
      <c r="D2" s="20" t="s">
        <v>46</v>
      </c>
      <c r="E2" s="19" t="s">
        <v>45</v>
      </c>
      <c r="F2" s="19" t="s">
        <v>44</v>
      </c>
      <c r="H2" s="19" t="s">
        <v>42</v>
      </c>
      <c r="I2" s="19" t="s">
        <v>48</v>
      </c>
      <c r="J2" s="19" t="s">
        <v>47</v>
      </c>
      <c r="K2" s="20" t="s">
        <v>46</v>
      </c>
      <c r="L2" s="19" t="s">
        <v>45</v>
      </c>
      <c r="M2" s="19" t="s">
        <v>44</v>
      </c>
      <c r="O2" s="19" t="s">
        <v>42</v>
      </c>
      <c r="P2" s="19" t="s">
        <v>48</v>
      </c>
      <c r="Q2" s="19" t="s">
        <v>47</v>
      </c>
      <c r="R2" s="20" t="s">
        <v>46</v>
      </c>
      <c r="S2" s="19" t="s">
        <v>45</v>
      </c>
      <c r="T2" s="19" t="s">
        <v>44</v>
      </c>
      <c r="V2" s="19" t="s">
        <v>42</v>
      </c>
      <c r="W2" s="19" t="s">
        <v>48</v>
      </c>
      <c r="X2" s="19" t="s">
        <v>47</v>
      </c>
      <c r="Y2" s="20" t="s">
        <v>46</v>
      </c>
      <c r="Z2" s="19" t="s">
        <v>45</v>
      </c>
      <c r="AA2" s="19" t="s">
        <v>44</v>
      </c>
      <c r="AC2" s="19" t="s">
        <v>42</v>
      </c>
      <c r="AD2" s="19" t="s">
        <v>48</v>
      </c>
      <c r="AE2" s="19" t="s">
        <v>47</v>
      </c>
      <c r="AF2" s="20" t="s">
        <v>46</v>
      </c>
      <c r="AG2" s="19" t="s">
        <v>45</v>
      </c>
      <c r="AH2" s="19" t="s">
        <v>44</v>
      </c>
      <c r="AJ2" s="19" t="s">
        <v>42</v>
      </c>
      <c r="AK2" s="19" t="s">
        <v>48</v>
      </c>
      <c r="AL2" s="19" t="s">
        <v>47</v>
      </c>
      <c r="AM2" s="20" t="s">
        <v>46</v>
      </c>
      <c r="AN2" s="19" t="s">
        <v>45</v>
      </c>
      <c r="AO2" s="19" t="s">
        <v>44</v>
      </c>
      <c r="AQ2" s="19" t="s">
        <v>42</v>
      </c>
      <c r="AR2" s="19" t="s">
        <v>48</v>
      </c>
      <c r="AS2" s="19" t="s">
        <v>47</v>
      </c>
      <c r="AT2" s="20" t="s">
        <v>46</v>
      </c>
      <c r="AU2" s="19" t="s">
        <v>45</v>
      </c>
      <c r="AV2" s="19" t="s">
        <v>44</v>
      </c>
      <c r="AX2" s="19" t="s">
        <v>42</v>
      </c>
      <c r="AY2" s="19" t="s">
        <v>48</v>
      </c>
      <c r="AZ2" s="19" t="s">
        <v>47</v>
      </c>
      <c r="BA2" s="20" t="s">
        <v>46</v>
      </c>
      <c r="BB2" s="19" t="s">
        <v>45</v>
      </c>
      <c r="BC2" s="19" t="s">
        <v>44</v>
      </c>
      <c r="BE2" s="19" t="s">
        <v>42</v>
      </c>
      <c r="BF2" s="19" t="s">
        <v>48</v>
      </c>
      <c r="BG2" s="19" t="s">
        <v>47</v>
      </c>
      <c r="BH2" s="20" t="s">
        <v>46</v>
      </c>
      <c r="BI2" s="19" t="s">
        <v>45</v>
      </c>
      <c r="BJ2" s="19" t="s">
        <v>44</v>
      </c>
      <c r="BL2" s="19" t="s">
        <v>42</v>
      </c>
      <c r="BM2" s="19" t="s">
        <v>48</v>
      </c>
      <c r="BN2" s="19" t="s">
        <v>47</v>
      </c>
      <c r="BO2" s="20" t="s">
        <v>46</v>
      </c>
      <c r="BP2" s="19" t="s">
        <v>45</v>
      </c>
      <c r="BQ2" s="19" t="s">
        <v>44</v>
      </c>
      <c r="BS2" s="19" t="s">
        <v>42</v>
      </c>
      <c r="BT2" s="19" t="s">
        <v>48</v>
      </c>
      <c r="BU2" s="19" t="s">
        <v>47</v>
      </c>
      <c r="BV2" s="20" t="s">
        <v>46</v>
      </c>
      <c r="BW2" s="19" t="s">
        <v>45</v>
      </c>
      <c r="BX2" s="19" t="s">
        <v>44</v>
      </c>
      <c r="BZ2" s="19" t="s">
        <v>42</v>
      </c>
      <c r="CA2" s="19" t="s">
        <v>48</v>
      </c>
      <c r="CB2" s="19" t="s">
        <v>47</v>
      </c>
      <c r="CC2" s="20" t="s">
        <v>46</v>
      </c>
      <c r="CD2" s="19" t="s">
        <v>45</v>
      </c>
      <c r="CE2" s="19" t="s">
        <v>44</v>
      </c>
      <c r="CG2" s="19" t="s">
        <v>42</v>
      </c>
      <c r="CH2" s="19" t="s">
        <v>48</v>
      </c>
      <c r="CI2" s="19" t="s">
        <v>47</v>
      </c>
      <c r="CJ2" s="20" t="s">
        <v>46</v>
      </c>
      <c r="CK2" s="19" t="s">
        <v>45</v>
      </c>
      <c r="CL2" s="19" t="s">
        <v>44</v>
      </c>
      <c r="CN2" s="19" t="s">
        <v>42</v>
      </c>
      <c r="CO2" s="19" t="s">
        <v>48</v>
      </c>
      <c r="CP2" s="19" t="s">
        <v>47</v>
      </c>
      <c r="CQ2" s="20" t="s">
        <v>46</v>
      </c>
      <c r="CR2" s="19" t="s">
        <v>45</v>
      </c>
      <c r="CS2" s="19" t="s">
        <v>44</v>
      </c>
      <c r="CU2" s="19" t="s">
        <v>42</v>
      </c>
      <c r="CV2" s="19" t="s">
        <v>48</v>
      </c>
      <c r="CW2" s="19" t="s">
        <v>47</v>
      </c>
      <c r="CX2" s="20" t="s">
        <v>46</v>
      </c>
      <c r="CY2" s="19" t="s">
        <v>45</v>
      </c>
      <c r="CZ2" s="19" t="s">
        <v>44</v>
      </c>
      <c r="DB2" s="19" t="s">
        <v>42</v>
      </c>
      <c r="DC2" s="19" t="s">
        <v>48</v>
      </c>
      <c r="DD2" s="19" t="s">
        <v>47</v>
      </c>
      <c r="DE2" s="20" t="s">
        <v>46</v>
      </c>
      <c r="DF2" s="19" t="s">
        <v>45</v>
      </c>
      <c r="DG2" s="19" t="s">
        <v>44</v>
      </c>
      <c r="DI2" s="19" t="s">
        <v>42</v>
      </c>
      <c r="DJ2" s="19" t="s">
        <v>48</v>
      </c>
      <c r="DK2" s="19" t="s">
        <v>47</v>
      </c>
      <c r="DL2" s="20" t="s">
        <v>46</v>
      </c>
      <c r="DM2" s="19" t="s">
        <v>45</v>
      </c>
      <c r="DN2" s="19" t="s">
        <v>44</v>
      </c>
      <c r="DP2" s="19" t="s">
        <v>42</v>
      </c>
      <c r="DQ2" s="19" t="s">
        <v>48</v>
      </c>
      <c r="DR2" s="19" t="s">
        <v>47</v>
      </c>
      <c r="DS2" s="20" t="s">
        <v>46</v>
      </c>
      <c r="DT2" s="19" t="s">
        <v>45</v>
      </c>
      <c r="DU2" s="19" t="s">
        <v>44</v>
      </c>
      <c r="DW2" s="19" t="s">
        <v>42</v>
      </c>
      <c r="DX2" s="19" t="s">
        <v>48</v>
      </c>
      <c r="DY2" s="19" t="s">
        <v>47</v>
      </c>
      <c r="DZ2" s="20" t="s">
        <v>46</v>
      </c>
      <c r="EA2" s="19" t="s">
        <v>45</v>
      </c>
      <c r="EB2" s="19" t="s">
        <v>44</v>
      </c>
      <c r="ED2" s="19" t="s">
        <v>42</v>
      </c>
      <c r="EE2" s="19" t="s">
        <v>48</v>
      </c>
      <c r="EF2" s="19" t="s">
        <v>47</v>
      </c>
      <c r="EG2" s="20" t="s">
        <v>46</v>
      </c>
      <c r="EH2" s="19" t="s">
        <v>45</v>
      </c>
      <c r="EI2" s="19" t="s">
        <v>44</v>
      </c>
      <c r="EK2" s="19" t="s">
        <v>42</v>
      </c>
      <c r="EL2" s="19" t="s">
        <v>48</v>
      </c>
      <c r="EM2" s="19" t="s">
        <v>47</v>
      </c>
      <c r="EN2" s="20" t="s">
        <v>46</v>
      </c>
      <c r="EO2" s="19" t="s">
        <v>45</v>
      </c>
      <c r="EP2" s="19" t="s">
        <v>44</v>
      </c>
      <c r="ER2" s="19" t="s">
        <v>42</v>
      </c>
      <c r="ES2" s="19" t="s">
        <v>48</v>
      </c>
      <c r="ET2" s="19" t="s">
        <v>47</v>
      </c>
      <c r="EU2" s="20" t="s">
        <v>46</v>
      </c>
      <c r="EV2" s="19" t="s">
        <v>45</v>
      </c>
      <c r="EW2" s="19" t="s">
        <v>44</v>
      </c>
      <c r="EY2" s="19" t="s">
        <v>42</v>
      </c>
      <c r="EZ2" s="19" t="s">
        <v>48</v>
      </c>
      <c r="FA2" s="19" t="s">
        <v>47</v>
      </c>
      <c r="FB2" s="20" t="s">
        <v>46</v>
      </c>
      <c r="FC2" s="19" t="s">
        <v>45</v>
      </c>
      <c r="FD2" s="19" t="s">
        <v>44</v>
      </c>
      <c r="FF2" s="19" t="s">
        <v>42</v>
      </c>
      <c r="FG2" s="19" t="s">
        <v>48</v>
      </c>
      <c r="FH2" s="19" t="s">
        <v>47</v>
      </c>
      <c r="FI2" s="20" t="s">
        <v>46</v>
      </c>
      <c r="FJ2" s="19" t="s">
        <v>45</v>
      </c>
      <c r="FK2" s="19" t="s">
        <v>44</v>
      </c>
      <c r="FM2" s="19" t="s">
        <v>42</v>
      </c>
      <c r="FN2" s="19" t="s">
        <v>48</v>
      </c>
      <c r="FO2" s="19" t="s">
        <v>47</v>
      </c>
      <c r="FP2" s="20" t="s">
        <v>46</v>
      </c>
      <c r="FQ2" s="19" t="s">
        <v>45</v>
      </c>
      <c r="FR2" s="19" t="s">
        <v>44</v>
      </c>
      <c r="FT2" s="19" t="s">
        <v>42</v>
      </c>
      <c r="FU2" s="19" t="s">
        <v>48</v>
      </c>
      <c r="FV2" s="19" t="s">
        <v>47</v>
      </c>
      <c r="FW2" s="20" t="s">
        <v>46</v>
      </c>
      <c r="FX2" s="19" t="s">
        <v>45</v>
      </c>
      <c r="FY2" s="19" t="s">
        <v>44</v>
      </c>
      <c r="GA2" s="19" t="s">
        <v>42</v>
      </c>
      <c r="GB2" s="19" t="s">
        <v>48</v>
      </c>
      <c r="GC2" s="19" t="s">
        <v>47</v>
      </c>
      <c r="GD2" s="20" t="s">
        <v>46</v>
      </c>
      <c r="GE2" s="19" t="s">
        <v>45</v>
      </c>
      <c r="GF2" s="19" t="s">
        <v>44</v>
      </c>
    </row>
    <row r="3" spans="1:188" x14ac:dyDescent="0.35">
      <c r="A3" s="19">
        <v>416</v>
      </c>
      <c r="B3" s="19"/>
      <c r="C3" s="19"/>
      <c r="D3" s="19"/>
      <c r="E3" s="19"/>
      <c r="F3" s="19"/>
      <c r="H3" s="19">
        <v>416</v>
      </c>
      <c r="I3" s="19"/>
      <c r="J3" s="19"/>
      <c r="K3" s="19"/>
      <c r="L3" s="19"/>
      <c r="M3" s="19"/>
      <c r="O3" s="19">
        <v>416</v>
      </c>
      <c r="P3" s="19"/>
      <c r="Q3" s="19"/>
      <c r="R3" s="19"/>
      <c r="S3" s="19"/>
      <c r="T3" s="19"/>
      <c r="V3" s="19">
        <v>416</v>
      </c>
      <c r="W3" s="19"/>
      <c r="X3" s="19"/>
      <c r="Y3" s="19"/>
      <c r="Z3" s="19"/>
      <c r="AA3" s="19"/>
      <c r="AC3" s="19">
        <v>416</v>
      </c>
      <c r="AD3" s="19"/>
      <c r="AE3" s="19"/>
      <c r="AF3" s="19"/>
      <c r="AG3" s="19"/>
      <c r="AH3" s="19"/>
      <c r="AJ3" s="19">
        <v>416</v>
      </c>
      <c r="AK3" s="19"/>
      <c r="AL3" s="19"/>
      <c r="AM3" s="19"/>
      <c r="AN3" s="19"/>
      <c r="AO3" s="19"/>
      <c r="AQ3" s="19">
        <v>416</v>
      </c>
      <c r="AR3" s="19"/>
      <c r="AS3" s="19"/>
      <c r="AT3" s="19"/>
      <c r="AU3" s="19"/>
      <c r="AV3" s="19"/>
      <c r="AX3" s="19">
        <v>416</v>
      </c>
      <c r="AY3" s="19"/>
      <c r="AZ3" s="19"/>
      <c r="BA3" s="19"/>
      <c r="BB3" s="19"/>
      <c r="BC3" s="19"/>
      <c r="BE3" s="19">
        <v>416</v>
      </c>
      <c r="BF3" s="19"/>
      <c r="BG3" s="19"/>
      <c r="BH3" s="19"/>
      <c r="BI3" s="19"/>
      <c r="BJ3" s="19"/>
      <c r="BL3" s="19">
        <v>416</v>
      </c>
      <c r="BM3" s="19"/>
      <c r="BN3" s="19"/>
      <c r="BO3" s="19"/>
      <c r="BP3" s="19"/>
      <c r="BQ3" s="19"/>
      <c r="BS3" s="19">
        <v>416</v>
      </c>
      <c r="BT3" s="19"/>
      <c r="BU3" s="19"/>
      <c r="BV3" s="19"/>
      <c r="BW3" s="19"/>
      <c r="BX3" s="19"/>
      <c r="BZ3" s="19">
        <v>416</v>
      </c>
      <c r="CA3" s="19"/>
      <c r="CB3" s="19"/>
      <c r="CC3" s="19"/>
      <c r="CD3" s="19"/>
      <c r="CE3" s="19"/>
      <c r="CG3" s="19">
        <v>416</v>
      </c>
      <c r="CH3" s="19"/>
      <c r="CI3" s="19"/>
      <c r="CJ3" s="19"/>
      <c r="CK3" s="19"/>
      <c r="CL3" s="19"/>
      <c r="CN3" s="19">
        <v>416</v>
      </c>
      <c r="CO3" s="19"/>
      <c r="CP3" s="19"/>
      <c r="CQ3" s="19"/>
      <c r="CR3" s="19"/>
      <c r="CS3" s="19"/>
      <c r="CU3" s="19">
        <v>416</v>
      </c>
      <c r="CV3" s="19"/>
      <c r="CW3" s="19"/>
      <c r="CX3" s="19"/>
      <c r="CY3" s="19"/>
      <c r="CZ3" s="19"/>
      <c r="DB3" s="19">
        <v>416</v>
      </c>
      <c r="DC3" s="19"/>
      <c r="DD3" s="19"/>
      <c r="DE3" s="19"/>
      <c r="DF3" s="19"/>
      <c r="DG3" s="19"/>
      <c r="DI3" s="19">
        <v>416</v>
      </c>
      <c r="DJ3" s="19"/>
      <c r="DK3" s="19"/>
      <c r="DL3" s="19"/>
      <c r="DM3" s="19"/>
      <c r="DN3" s="19"/>
      <c r="DP3" s="19">
        <v>416</v>
      </c>
      <c r="DQ3" s="19"/>
      <c r="DR3" s="19"/>
      <c r="DS3" s="19"/>
      <c r="DT3" s="19"/>
      <c r="DU3" s="19"/>
      <c r="DW3" s="19">
        <v>416</v>
      </c>
      <c r="DX3" s="19"/>
      <c r="DY3" s="19"/>
      <c r="DZ3" s="19"/>
      <c r="EA3" s="19"/>
      <c r="EB3" s="19"/>
      <c r="ED3" s="19">
        <v>416</v>
      </c>
      <c r="EE3" s="19"/>
      <c r="EF3" s="19"/>
      <c r="EG3" s="19"/>
      <c r="EH3" s="19"/>
      <c r="EI3" s="19"/>
      <c r="EK3" s="19">
        <v>416</v>
      </c>
      <c r="EL3" s="19"/>
      <c r="EM3" s="19"/>
      <c r="EN3" s="19"/>
      <c r="EO3" s="19"/>
      <c r="EP3" s="19"/>
      <c r="ER3" s="19">
        <v>416</v>
      </c>
      <c r="ES3" s="19"/>
      <c r="ET3" s="19"/>
      <c r="EU3" s="19"/>
      <c r="EV3" s="19"/>
      <c r="EW3" s="19"/>
      <c r="EY3" s="19">
        <v>416</v>
      </c>
      <c r="EZ3" s="19"/>
      <c r="FA3" s="19"/>
      <c r="FB3" s="19"/>
      <c r="FC3" s="19"/>
      <c r="FD3" s="19"/>
      <c r="FF3" s="19">
        <v>416</v>
      </c>
      <c r="FG3" s="19"/>
      <c r="FH3" s="19"/>
      <c r="FI3" s="19"/>
      <c r="FJ3" s="19"/>
      <c r="FK3" s="19"/>
      <c r="FM3" s="19">
        <v>416</v>
      </c>
      <c r="FN3" s="19"/>
      <c r="FO3" s="19"/>
      <c r="FP3" s="19"/>
      <c r="FQ3" s="19"/>
      <c r="FR3" s="19"/>
      <c r="FT3" s="19">
        <v>416</v>
      </c>
      <c r="FU3" s="19"/>
      <c r="FV3" s="19"/>
      <c r="FW3" s="19"/>
      <c r="FX3" s="19"/>
      <c r="FY3" s="19"/>
      <c r="GA3" s="19">
        <v>416</v>
      </c>
      <c r="GB3" s="19"/>
      <c r="GC3" s="19"/>
      <c r="GD3" s="19"/>
      <c r="GE3" s="19"/>
      <c r="GF3" s="19"/>
    </row>
    <row r="4" spans="1:188" x14ac:dyDescent="0.35">
      <c r="A4" s="51">
        <v>419</v>
      </c>
      <c r="B4" s="19">
        <v>144</v>
      </c>
      <c r="C4" s="19">
        <v>150</v>
      </c>
      <c r="D4" s="19">
        <f>C4-B4</f>
        <v>6</v>
      </c>
      <c r="E4" s="19">
        <v>149</v>
      </c>
      <c r="F4" s="19">
        <v>360</v>
      </c>
      <c r="H4" s="51">
        <v>419</v>
      </c>
      <c r="I4" s="19">
        <v>150</v>
      </c>
      <c r="J4" s="19">
        <v>155</v>
      </c>
      <c r="K4" s="19">
        <f>J4-I4</f>
        <v>5</v>
      </c>
      <c r="L4" s="19"/>
      <c r="M4" s="19"/>
      <c r="O4" s="51">
        <v>419</v>
      </c>
      <c r="P4" s="19">
        <v>165</v>
      </c>
      <c r="Q4" s="19">
        <v>175</v>
      </c>
      <c r="R4" s="19">
        <f>Q4-P4</f>
        <v>10</v>
      </c>
      <c r="S4" s="19">
        <v>168</v>
      </c>
      <c r="T4" s="19">
        <v>280</v>
      </c>
      <c r="V4" s="51">
        <v>419</v>
      </c>
      <c r="W4" s="19">
        <v>185</v>
      </c>
      <c r="X4" s="19">
        <v>195</v>
      </c>
      <c r="Y4" s="19">
        <f>X4-W4</f>
        <v>10</v>
      </c>
      <c r="Z4" s="19">
        <v>189</v>
      </c>
      <c r="AA4" s="19">
        <v>224</v>
      </c>
      <c r="AC4" s="51">
        <v>419</v>
      </c>
      <c r="AD4" s="19">
        <v>205</v>
      </c>
      <c r="AE4" s="19">
        <v>227</v>
      </c>
      <c r="AF4" s="19">
        <f>AE4-AD4</f>
        <v>22</v>
      </c>
      <c r="AG4" s="19">
        <v>209</v>
      </c>
      <c r="AH4" s="19">
        <v>218</v>
      </c>
      <c r="AJ4" s="51">
        <v>419</v>
      </c>
      <c r="AK4" s="19">
        <v>227</v>
      </c>
      <c r="AL4" s="19">
        <v>237</v>
      </c>
      <c r="AM4" s="19">
        <f>AL4-AK4</f>
        <v>10</v>
      </c>
      <c r="AN4" s="19">
        <v>230</v>
      </c>
      <c r="AO4" s="19">
        <v>295</v>
      </c>
      <c r="AQ4" s="51">
        <v>419</v>
      </c>
      <c r="AR4" s="19">
        <v>247</v>
      </c>
      <c r="AS4" s="19">
        <v>258</v>
      </c>
      <c r="AT4" s="19">
        <f>AS4-AR4</f>
        <v>11</v>
      </c>
      <c r="AU4" s="19">
        <v>252</v>
      </c>
      <c r="AV4" s="19">
        <v>187</v>
      </c>
      <c r="AX4" s="51">
        <v>419</v>
      </c>
      <c r="AY4" s="19">
        <v>268</v>
      </c>
      <c r="AZ4" s="19">
        <v>284</v>
      </c>
      <c r="BA4" s="19">
        <f>AZ4-AY4</f>
        <v>16</v>
      </c>
      <c r="BB4" s="19">
        <v>271</v>
      </c>
      <c r="BC4" s="19">
        <v>335</v>
      </c>
      <c r="BE4" s="51">
        <v>419</v>
      </c>
      <c r="BF4" s="19">
        <v>284</v>
      </c>
      <c r="BG4" s="19">
        <v>294</v>
      </c>
      <c r="BH4" s="19">
        <f>BG4-BF4</f>
        <v>10</v>
      </c>
      <c r="BI4" s="19">
        <v>288</v>
      </c>
      <c r="BJ4" s="19">
        <v>188</v>
      </c>
      <c r="BL4" s="51">
        <v>419</v>
      </c>
      <c r="BM4" s="19">
        <v>305</v>
      </c>
      <c r="BN4" s="19">
        <v>315</v>
      </c>
      <c r="BO4" s="19">
        <f>BN4-BM4</f>
        <v>10</v>
      </c>
      <c r="BP4" s="19">
        <v>308</v>
      </c>
      <c r="BQ4" s="19">
        <v>230</v>
      </c>
      <c r="BS4" s="51">
        <v>419</v>
      </c>
      <c r="BT4" s="19">
        <v>323</v>
      </c>
      <c r="BU4" s="19">
        <v>336</v>
      </c>
      <c r="BV4" s="19">
        <f>BU4-BT4</f>
        <v>13</v>
      </c>
      <c r="BW4" s="19">
        <v>328</v>
      </c>
      <c r="BX4" s="19">
        <v>270</v>
      </c>
      <c r="BZ4" s="51">
        <v>419</v>
      </c>
      <c r="CA4" s="19">
        <v>336</v>
      </c>
      <c r="CB4" s="19">
        <v>356</v>
      </c>
      <c r="CC4" s="19">
        <f>CB4-CA4</f>
        <v>20</v>
      </c>
      <c r="CD4" s="19">
        <v>339</v>
      </c>
      <c r="CE4" s="19">
        <v>225</v>
      </c>
      <c r="CG4" s="51">
        <v>419</v>
      </c>
      <c r="CH4" s="19">
        <v>357</v>
      </c>
      <c r="CI4" s="19">
        <v>377</v>
      </c>
      <c r="CJ4" s="19">
        <f>CI4-CH4</f>
        <v>20</v>
      </c>
      <c r="CK4" s="19">
        <v>360</v>
      </c>
      <c r="CL4" s="19">
        <v>330</v>
      </c>
      <c r="CN4" s="51">
        <v>419</v>
      </c>
      <c r="CO4" s="19">
        <v>377</v>
      </c>
      <c r="CP4" s="19">
        <v>392</v>
      </c>
      <c r="CQ4" s="19">
        <f>CP4-CO4</f>
        <v>15</v>
      </c>
      <c r="CR4" s="19">
        <v>380</v>
      </c>
      <c r="CS4" s="19">
        <v>227</v>
      </c>
      <c r="CU4" s="51">
        <v>419</v>
      </c>
      <c r="CV4" s="19">
        <v>413</v>
      </c>
      <c r="CW4" s="19">
        <v>431</v>
      </c>
      <c r="CX4" s="19">
        <f>CW4-CV4</f>
        <v>18</v>
      </c>
      <c r="CY4" s="19">
        <v>417</v>
      </c>
      <c r="CZ4" s="19">
        <v>230</v>
      </c>
      <c r="DB4" s="51">
        <v>419</v>
      </c>
      <c r="DC4" s="19">
        <v>431</v>
      </c>
      <c r="DD4" s="19">
        <v>449</v>
      </c>
      <c r="DE4" s="19">
        <f>DD4-DC4</f>
        <v>18</v>
      </c>
      <c r="DF4" s="19">
        <v>434</v>
      </c>
      <c r="DG4" s="19">
        <v>260</v>
      </c>
      <c r="DI4" s="51">
        <v>419</v>
      </c>
      <c r="DJ4" s="19">
        <v>449</v>
      </c>
      <c r="DK4" s="19">
        <v>464</v>
      </c>
      <c r="DL4" s="19">
        <f>DK4-DJ4</f>
        <v>15</v>
      </c>
      <c r="DM4" s="19">
        <v>451</v>
      </c>
      <c r="DN4" s="19">
        <v>210</v>
      </c>
      <c r="DP4" s="51">
        <v>419</v>
      </c>
      <c r="DQ4" s="19">
        <v>464</v>
      </c>
      <c r="DR4" s="19">
        <v>473</v>
      </c>
      <c r="DS4" s="19">
        <f>DR4-DQ4</f>
        <v>9</v>
      </c>
      <c r="DT4" s="19">
        <v>467</v>
      </c>
      <c r="DU4" s="19">
        <v>230</v>
      </c>
      <c r="DW4" s="51">
        <v>419</v>
      </c>
      <c r="DX4" s="19"/>
      <c r="DY4" s="19"/>
      <c r="DZ4" s="19"/>
      <c r="EA4" s="19"/>
      <c r="EB4" s="19"/>
      <c r="ED4" s="51">
        <v>419</v>
      </c>
      <c r="EE4" s="19"/>
      <c r="EF4" s="19"/>
      <c r="EG4" s="19"/>
      <c r="EH4" s="19"/>
      <c r="EI4" s="19"/>
      <c r="EK4" s="51">
        <v>419</v>
      </c>
      <c r="EL4" s="19"/>
      <c r="EM4" s="19"/>
      <c r="EN4" s="19"/>
      <c r="EO4" s="19"/>
      <c r="EP4" s="19"/>
      <c r="ER4" s="51">
        <v>419</v>
      </c>
      <c r="ES4" s="19"/>
      <c r="ET4" s="19"/>
      <c r="EU4" s="19"/>
      <c r="EV4" s="19"/>
      <c r="EW4" s="19"/>
      <c r="EY4" s="51">
        <v>419</v>
      </c>
      <c r="EZ4" s="19"/>
      <c r="FA4" s="19"/>
      <c r="FB4" s="19"/>
      <c r="FC4" s="19"/>
      <c r="FD4" s="19"/>
      <c r="FF4" s="51">
        <v>419</v>
      </c>
      <c r="FG4" s="19"/>
      <c r="FH4" s="19"/>
      <c r="FI4" s="19"/>
      <c r="FJ4" s="19"/>
      <c r="FK4" s="19"/>
      <c r="FM4" s="51">
        <v>419</v>
      </c>
      <c r="FN4" s="19"/>
      <c r="FO4" s="19"/>
      <c r="FP4" s="19"/>
      <c r="FQ4" s="19"/>
      <c r="FR4" s="19"/>
      <c r="FT4" s="51">
        <v>419</v>
      </c>
      <c r="FU4" s="19"/>
      <c r="FV4" s="19"/>
      <c r="FW4" s="19"/>
      <c r="FX4" s="19"/>
      <c r="FY4" s="19"/>
      <c r="GA4" s="51">
        <v>419</v>
      </c>
      <c r="GB4" s="19"/>
      <c r="GC4" s="19"/>
      <c r="GD4" s="19"/>
      <c r="GE4" s="19"/>
      <c r="GF4" s="19"/>
    </row>
    <row r="5" spans="1:188" x14ac:dyDescent="0.35">
      <c r="A5" s="52"/>
      <c r="B5" s="19"/>
      <c r="C5" s="19"/>
      <c r="D5" s="19"/>
      <c r="E5" s="19"/>
      <c r="F5" s="19"/>
      <c r="H5" s="52"/>
      <c r="I5" s="19"/>
      <c r="J5" s="19"/>
      <c r="K5" s="19"/>
      <c r="L5" s="19"/>
      <c r="M5" s="19"/>
      <c r="O5" s="52"/>
      <c r="P5" s="19"/>
      <c r="Q5" s="19"/>
      <c r="R5" s="19"/>
      <c r="S5" s="19"/>
      <c r="T5" s="19"/>
      <c r="V5" s="52"/>
      <c r="W5" s="19"/>
      <c r="X5" s="19"/>
      <c r="Y5" s="19"/>
      <c r="Z5" s="19"/>
      <c r="AA5" s="19"/>
      <c r="AC5" s="52"/>
      <c r="AD5" s="19"/>
      <c r="AE5" s="19"/>
      <c r="AF5" s="19"/>
      <c r="AG5" s="19">
        <v>220</v>
      </c>
      <c r="AH5" s="19">
        <v>300</v>
      </c>
      <c r="AJ5" s="52"/>
      <c r="AK5" s="19"/>
      <c r="AL5" s="19"/>
      <c r="AM5" s="19"/>
      <c r="AN5" s="19"/>
      <c r="AO5" s="19"/>
      <c r="AQ5" s="52"/>
      <c r="AR5" s="19"/>
      <c r="AS5" s="19"/>
      <c r="AT5" s="19"/>
      <c r="AU5" s="19"/>
      <c r="AV5" s="19"/>
      <c r="AX5" s="52"/>
      <c r="AY5" s="19"/>
      <c r="AZ5" s="19"/>
      <c r="BA5" s="19"/>
      <c r="BB5" s="19">
        <v>281</v>
      </c>
      <c r="BC5" s="19">
        <v>221</v>
      </c>
      <c r="BE5" s="52"/>
      <c r="BF5" s="19"/>
      <c r="BG5" s="19"/>
      <c r="BH5" s="19"/>
      <c r="BI5" s="19"/>
      <c r="BJ5" s="19"/>
      <c r="BL5" s="52"/>
      <c r="BM5" s="19"/>
      <c r="BN5" s="19"/>
      <c r="BO5" s="19"/>
      <c r="BP5" s="19"/>
      <c r="BQ5" s="19"/>
      <c r="BS5" s="52"/>
      <c r="BT5" s="19"/>
      <c r="BU5" s="19"/>
      <c r="BV5" s="19"/>
      <c r="BW5" s="19"/>
      <c r="BX5" s="19"/>
      <c r="BZ5" s="52"/>
      <c r="CA5" s="19"/>
      <c r="CB5" s="19"/>
      <c r="CC5" s="19"/>
      <c r="CD5" s="19">
        <v>350</v>
      </c>
      <c r="CE5" s="19">
        <v>276</v>
      </c>
      <c r="CG5" s="52"/>
      <c r="CH5" s="19"/>
      <c r="CI5" s="19"/>
      <c r="CJ5" s="19"/>
      <c r="CK5" s="19">
        <v>372</v>
      </c>
      <c r="CL5" s="19">
        <v>240</v>
      </c>
      <c r="CN5" s="52"/>
      <c r="CO5" s="19"/>
      <c r="CP5" s="19"/>
      <c r="CQ5" s="19"/>
      <c r="CR5" s="19">
        <v>387</v>
      </c>
      <c r="CS5" s="19">
        <v>190</v>
      </c>
      <c r="CU5" s="52"/>
      <c r="CV5" s="19"/>
      <c r="CW5" s="19"/>
      <c r="CX5" s="19"/>
      <c r="CY5" s="19">
        <v>423</v>
      </c>
      <c r="CZ5" s="19">
        <v>244</v>
      </c>
      <c r="DB5" s="52"/>
      <c r="DC5" s="19"/>
      <c r="DD5" s="19"/>
      <c r="DE5" s="19"/>
      <c r="DF5" s="19">
        <v>444</v>
      </c>
      <c r="DG5" s="19">
        <v>280</v>
      </c>
      <c r="DI5" s="52"/>
      <c r="DJ5" s="19"/>
      <c r="DK5" s="19"/>
      <c r="DL5" s="19"/>
      <c r="DM5" s="19">
        <v>458</v>
      </c>
      <c r="DN5" s="19">
        <v>155</v>
      </c>
      <c r="DP5" s="52"/>
      <c r="DQ5" s="19"/>
      <c r="DR5" s="19"/>
      <c r="DS5" s="19"/>
      <c r="DT5" s="19"/>
      <c r="DU5" s="19"/>
      <c r="DW5" s="52"/>
      <c r="DX5" s="19"/>
      <c r="DY5" s="19"/>
      <c r="DZ5" s="19"/>
      <c r="EA5" s="19"/>
      <c r="EB5" s="19"/>
      <c r="ED5" s="52"/>
      <c r="EE5" s="19"/>
      <c r="EF5" s="19"/>
      <c r="EG5" s="19"/>
      <c r="EH5" s="19"/>
      <c r="EI5" s="19"/>
      <c r="EK5" s="52"/>
      <c r="EL5" s="19"/>
      <c r="EM5" s="19"/>
      <c r="EN5" s="19"/>
      <c r="EO5" s="19"/>
      <c r="EP5" s="19"/>
      <c r="ER5" s="52"/>
      <c r="ES5" s="19"/>
      <c r="ET5" s="19"/>
      <c r="EU5" s="19"/>
      <c r="EV5" s="19"/>
      <c r="EW5" s="19"/>
      <c r="EY5" s="52"/>
      <c r="EZ5" s="19"/>
      <c r="FA5" s="19"/>
      <c r="FB5" s="19"/>
      <c r="FC5" s="19"/>
      <c r="FD5" s="19"/>
      <c r="FF5" s="52"/>
      <c r="FG5" s="19"/>
      <c r="FH5" s="19"/>
      <c r="FI5" s="19"/>
      <c r="FJ5" s="19"/>
      <c r="FK5" s="19"/>
      <c r="FM5" s="52"/>
      <c r="FN5" s="19"/>
      <c r="FO5" s="19"/>
      <c r="FP5" s="19"/>
      <c r="FQ5" s="19"/>
      <c r="FR5" s="19"/>
      <c r="FT5" s="52"/>
      <c r="FU5" s="19"/>
      <c r="FV5" s="19"/>
      <c r="FW5" s="19"/>
      <c r="FX5" s="19"/>
      <c r="FY5" s="19"/>
      <c r="GA5" s="52"/>
      <c r="GB5" s="19"/>
      <c r="GC5" s="19"/>
      <c r="GD5" s="19"/>
      <c r="GE5" s="19"/>
      <c r="GF5" s="19"/>
    </row>
    <row r="6" spans="1:188" x14ac:dyDescent="0.35">
      <c r="A6" s="51">
        <v>420</v>
      </c>
      <c r="B6" s="19"/>
      <c r="C6" s="19"/>
      <c r="D6" s="19"/>
      <c r="E6" s="19"/>
      <c r="F6" s="19"/>
      <c r="H6" s="51">
        <v>420</v>
      </c>
      <c r="I6" s="19"/>
      <c r="J6" s="19"/>
      <c r="K6" s="19"/>
      <c r="L6" s="19"/>
      <c r="M6" s="19"/>
      <c r="O6" s="51">
        <v>420</v>
      </c>
      <c r="P6" s="19"/>
      <c r="Q6" s="19"/>
      <c r="R6" s="19"/>
      <c r="S6" s="19"/>
      <c r="T6" s="19"/>
      <c r="V6" s="51">
        <v>420</v>
      </c>
      <c r="W6" s="19"/>
      <c r="X6" s="19"/>
      <c r="Y6" s="19"/>
      <c r="Z6" s="19"/>
      <c r="AA6" s="19"/>
      <c r="AC6" s="51">
        <v>420</v>
      </c>
      <c r="AD6" s="19"/>
      <c r="AE6" s="19"/>
      <c r="AF6" s="19"/>
      <c r="AG6" s="19"/>
      <c r="AH6" s="19"/>
      <c r="AJ6" s="51">
        <v>420</v>
      </c>
      <c r="AK6" s="19"/>
      <c r="AL6" s="19"/>
      <c r="AM6" s="19"/>
      <c r="AN6" s="19"/>
      <c r="AO6" s="19"/>
      <c r="AQ6" s="51">
        <v>420</v>
      </c>
      <c r="AR6" s="19">
        <v>256</v>
      </c>
      <c r="AS6" s="19">
        <v>266</v>
      </c>
      <c r="AT6" s="19">
        <f>AS6-AR6</f>
        <v>10</v>
      </c>
      <c r="AU6" s="19">
        <v>261</v>
      </c>
      <c r="AV6" s="19">
        <v>151</v>
      </c>
      <c r="AX6" s="51">
        <v>420</v>
      </c>
      <c r="AY6" s="19">
        <v>275</v>
      </c>
      <c r="AZ6" s="19">
        <v>286</v>
      </c>
      <c r="BA6" s="19">
        <f>AZ6-AY6</f>
        <v>11</v>
      </c>
      <c r="BB6" s="19">
        <v>280</v>
      </c>
      <c r="BC6" s="19">
        <v>245</v>
      </c>
      <c r="BE6" s="51">
        <v>420</v>
      </c>
      <c r="BF6" s="19">
        <v>292</v>
      </c>
      <c r="BG6" s="19">
        <v>302</v>
      </c>
      <c r="BH6" s="19">
        <f>BG6-BF6</f>
        <v>10</v>
      </c>
      <c r="BI6" s="19">
        <v>296</v>
      </c>
      <c r="BJ6" s="19">
        <v>141</v>
      </c>
      <c r="BL6" s="51">
        <v>420</v>
      </c>
      <c r="BM6" s="19">
        <v>311</v>
      </c>
      <c r="BN6" s="19">
        <v>322</v>
      </c>
      <c r="BO6" s="19">
        <f>BN6-BM6</f>
        <v>11</v>
      </c>
      <c r="BP6" s="19">
        <v>315</v>
      </c>
      <c r="BQ6" s="19">
        <v>193</v>
      </c>
      <c r="BS6" s="51">
        <v>420</v>
      </c>
      <c r="BT6" s="19"/>
      <c r="BU6" s="19"/>
      <c r="BV6" s="19"/>
      <c r="BW6" s="19"/>
      <c r="BX6" s="19"/>
      <c r="BZ6" s="51">
        <v>420</v>
      </c>
      <c r="CA6" s="19"/>
      <c r="CB6" s="19"/>
      <c r="CC6" s="19"/>
      <c r="CD6" s="19"/>
      <c r="CE6" s="19"/>
      <c r="CG6" s="51">
        <v>420</v>
      </c>
      <c r="CH6" s="19">
        <v>363</v>
      </c>
      <c r="CI6" s="19">
        <v>382</v>
      </c>
      <c r="CJ6" s="19">
        <f>CI6-CH6</f>
        <v>19</v>
      </c>
      <c r="CK6" s="19">
        <v>367</v>
      </c>
      <c r="CL6" s="19">
        <v>330</v>
      </c>
      <c r="CN6" s="51">
        <v>420</v>
      </c>
      <c r="CO6" s="19">
        <v>382</v>
      </c>
      <c r="CP6" s="19">
        <v>398</v>
      </c>
      <c r="CQ6" s="19">
        <f>CP6-CO6</f>
        <v>16</v>
      </c>
      <c r="CR6" s="19">
        <v>385</v>
      </c>
      <c r="CS6" s="19">
        <v>163</v>
      </c>
      <c r="CU6" s="51">
        <v>420</v>
      </c>
      <c r="CV6" s="19">
        <v>414</v>
      </c>
      <c r="CW6" s="19">
        <v>434</v>
      </c>
      <c r="CX6" s="19">
        <f>CW6-CV6</f>
        <v>20</v>
      </c>
      <c r="CY6" s="19">
        <v>419</v>
      </c>
      <c r="CZ6" s="19">
        <v>213</v>
      </c>
      <c r="DB6" s="51">
        <v>420</v>
      </c>
      <c r="DC6" s="19">
        <v>434</v>
      </c>
      <c r="DD6" s="19">
        <v>452</v>
      </c>
      <c r="DE6" s="19">
        <f>DD6-DC6</f>
        <v>18</v>
      </c>
      <c r="DF6" s="19">
        <v>438</v>
      </c>
      <c r="DG6" s="19">
        <v>211</v>
      </c>
      <c r="DI6" s="51">
        <v>420</v>
      </c>
      <c r="DJ6" s="19">
        <v>452</v>
      </c>
      <c r="DK6" s="19">
        <v>468</v>
      </c>
      <c r="DL6" s="19">
        <f>DK6-DJ6</f>
        <v>16</v>
      </c>
      <c r="DM6" s="19">
        <v>453</v>
      </c>
      <c r="DN6" s="19">
        <v>135</v>
      </c>
      <c r="DP6" s="51">
        <v>420</v>
      </c>
      <c r="DQ6" s="19">
        <v>468</v>
      </c>
      <c r="DR6" s="19">
        <v>477</v>
      </c>
      <c r="DS6" s="19">
        <f>DR6-DQ6</f>
        <v>9</v>
      </c>
      <c r="DT6" s="19">
        <v>472</v>
      </c>
      <c r="DU6" s="19">
        <v>270</v>
      </c>
      <c r="DW6" s="51">
        <v>420</v>
      </c>
      <c r="DX6" s="19">
        <v>477</v>
      </c>
      <c r="DY6" s="19">
        <v>487</v>
      </c>
      <c r="DZ6" s="19">
        <f>DY6-DX6</f>
        <v>10</v>
      </c>
      <c r="EA6" s="19">
        <v>481</v>
      </c>
      <c r="EB6" s="19">
        <v>250</v>
      </c>
      <c r="ED6" s="51">
        <v>420</v>
      </c>
      <c r="EE6" s="19">
        <v>487</v>
      </c>
      <c r="EF6" s="19">
        <v>502</v>
      </c>
      <c r="EG6" s="19">
        <f>EF6-EE6</f>
        <v>15</v>
      </c>
      <c r="EH6" s="19">
        <v>491</v>
      </c>
      <c r="EI6" s="19">
        <v>166</v>
      </c>
      <c r="EK6" s="51">
        <v>420</v>
      </c>
      <c r="EL6" s="19"/>
      <c r="EM6" s="19"/>
      <c r="EN6" s="19"/>
      <c r="EO6" s="19"/>
      <c r="EP6" s="19"/>
      <c r="ER6" s="51">
        <v>420</v>
      </c>
      <c r="ES6" s="19"/>
      <c r="ET6" s="19"/>
      <c r="EU6" s="19"/>
      <c r="EV6" s="19"/>
      <c r="EW6" s="19"/>
      <c r="EY6" s="51">
        <v>420</v>
      </c>
      <c r="EZ6" s="19">
        <v>515</v>
      </c>
      <c r="FA6" s="19">
        <v>530</v>
      </c>
      <c r="FB6" s="19">
        <f>FA6-EZ6</f>
        <v>15</v>
      </c>
      <c r="FC6" s="19">
        <v>516</v>
      </c>
      <c r="FD6" s="19">
        <v>153</v>
      </c>
      <c r="FF6" s="51">
        <v>420</v>
      </c>
      <c r="FG6" s="19"/>
      <c r="FH6" s="19"/>
      <c r="FI6" s="19"/>
      <c r="FJ6" s="19"/>
      <c r="FK6" s="19"/>
      <c r="FM6" s="51">
        <v>420</v>
      </c>
      <c r="FN6" s="19">
        <v>540</v>
      </c>
      <c r="FO6" s="19">
        <v>556</v>
      </c>
      <c r="FP6" s="19">
        <f>FO6-FN6</f>
        <v>16</v>
      </c>
      <c r="FQ6" s="19">
        <v>542</v>
      </c>
      <c r="FR6" s="19">
        <v>195</v>
      </c>
      <c r="FT6" s="51">
        <v>420</v>
      </c>
      <c r="FU6" s="19">
        <v>556</v>
      </c>
      <c r="FV6" s="19">
        <v>575</v>
      </c>
      <c r="FW6" s="19">
        <f>FV6-FU6</f>
        <v>19</v>
      </c>
      <c r="FX6" s="19">
        <v>560</v>
      </c>
      <c r="FY6" s="19">
        <v>220</v>
      </c>
      <c r="GA6" s="51">
        <v>420</v>
      </c>
      <c r="GB6" s="19">
        <v>575</v>
      </c>
      <c r="GC6" s="19">
        <v>593</v>
      </c>
      <c r="GD6" s="19">
        <f>GC6-GB6</f>
        <v>18</v>
      </c>
      <c r="GE6" s="19">
        <v>580</v>
      </c>
      <c r="GF6" s="19">
        <v>230</v>
      </c>
    </row>
    <row r="7" spans="1:188" x14ac:dyDescent="0.35">
      <c r="A7" s="52"/>
      <c r="B7" s="19"/>
      <c r="C7" s="19"/>
      <c r="D7" s="19"/>
      <c r="E7" s="19"/>
      <c r="F7" s="19"/>
      <c r="H7" s="52"/>
      <c r="I7" s="19"/>
      <c r="J7" s="19"/>
      <c r="K7" s="19"/>
      <c r="L7" s="19"/>
      <c r="M7" s="19"/>
      <c r="O7" s="52"/>
      <c r="P7" s="19"/>
      <c r="Q7" s="19"/>
      <c r="R7" s="19"/>
      <c r="S7" s="19"/>
      <c r="T7" s="19"/>
      <c r="V7" s="52"/>
      <c r="W7" s="19"/>
      <c r="X7" s="19"/>
      <c r="Y7" s="19"/>
      <c r="Z7" s="19"/>
      <c r="AA7" s="19"/>
      <c r="AC7" s="52"/>
      <c r="AD7" s="19"/>
      <c r="AE7" s="19"/>
      <c r="AF7" s="19"/>
      <c r="AG7" s="19"/>
      <c r="AH7" s="19"/>
      <c r="AJ7" s="52"/>
      <c r="AK7" s="19"/>
      <c r="AL7" s="19"/>
      <c r="AM7" s="19"/>
      <c r="AN7" s="19"/>
      <c r="AO7" s="19"/>
      <c r="AQ7" s="52"/>
      <c r="AR7" s="19"/>
      <c r="AS7" s="19"/>
      <c r="AT7" s="19"/>
      <c r="AU7" s="19"/>
      <c r="AV7" s="19"/>
      <c r="AX7" s="52"/>
      <c r="AY7" s="19"/>
      <c r="AZ7" s="19"/>
      <c r="BA7" s="19"/>
      <c r="BB7" s="19"/>
      <c r="BC7" s="19"/>
      <c r="BE7" s="52"/>
      <c r="BF7" s="19"/>
      <c r="BG7" s="19"/>
      <c r="BH7" s="19"/>
      <c r="BI7" s="19"/>
      <c r="BJ7" s="19"/>
      <c r="BL7" s="52"/>
      <c r="BM7" s="19"/>
      <c r="BN7" s="19"/>
      <c r="BO7" s="19"/>
      <c r="BP7" s="19"/>
      <c r="BQ7" s="19"/>
      <c r="BS7" s="52"/>
      <c r="BT7" s="19"/>
      <c r="BU7" s="19"/>
      <c r="BV7" s="19"/>
      <c r="BW7" s="19"/>
      <c r="BX7" s="19"/>
      <c r="BZ7" s="52"/>
      <c r="CA7" s="19">
        <v>353</v>
      </c>
      <c r="CB7" s="19">
        <v>363</v>
      </c>
      <c r="CC7" s="19">
        <f>CB7-CA7</f>
        <v>10</v>
      </c>
      <c r="CD7" s="19">
        <v>357</v>
      </c>
      <c r="CE7" s="19">
        <v>200</v>
      </c>
      <c r="CG7" s="52"/>
      <c r="CH7" s="19"/>
      <c r="CI7" s="19"/>
      <c r="CJ7" s="19"/>
      <c r="CK7" s="19">
        <v>376</v>
      </c>
      <c r="CL7" s="19">
        <v>251</v>
      </c>
      <c r="CN7" s="52"/>
      <c r="CO7" s="19"/>
      <c r="CP7" s="19"/>
      <c r="CQ7" s="19"/>
      <c r="CR7" s="19">
        <v>392</v>
      </c>
      <c r="CS7" s="19">
        <v>220</v>
      </c>
      <c r="CU7" s="52"/>
      <c r="CV7" s="19"/>
      <c r="CW7" s="19"/>
      <c r="CX7" s="19"/>
      <c r="CY7" s="19">
        <v>427</v>
      </c>
      <c r="CZ7" s="19">
        <v>200</v>
      </c>
      <c r="DB7" s="52"/>
      <c r="DC7" s="19"/>
      <c r="DD7" s="19"/>
      <c r="DE7" s="19"/>
      <c r="DF7" s="19">
        <v>448</v>
      </c>
      <c r="DG7" s="19">
        <v>400</v>
      </c>
      <c r="DI7" s="52"/>
      <c r="DJ7" s="19"/>
      <c r="DK7" s="19"/>
      <c r="DL7" s="19"/>
      <c r="DM7" s="19">
        <v>461</v>
      </c>
      <c r="DN7" s="19">
        <v>208</v>
      </c>
      <c r="DP7" s="52"/>
      <c r="DQ7" s="19"/>
      <c r="DR7" s="19"/>
      <c r="DS7" s="19"/>
      <c r="DT7" s="19"/>
      <c r="DU7" s="19"/>
      <c r="DW7" s="52"/>
      <c r="DX7" s="19"/>
      <c r="DY7" s="19"/>
      <c r="DZ7" s="19"/>
      <c r="EA7" s="19">
        <v>483</v>
      </c>
      <c r="EB7" s="19">
        <v>46</v>
      </c>
      <c r="ED7" s="52"/>
      <c r="EE7" s="19"/>
      <c r="EF7" s="19"/>
      <c r="EG7" s="19"/>
      <c r="EH7" s="19">
        <v>497</v>
      </c>
      <c r="EI7" s="19">
        <v>145</v>
      </c>
      <c r="EK7" s="52"/>
      <c r="EL7" s="19"/>
      <c r="EM7" s="19"/>
      <c r="EN7" s="19"/>
      <c r="EO7" s="19"/>
      <c r="EP7" s="19"/>
      <c r="ER7" s="52"/>
      <c r="ES7" s="19"/>
      <c r="ET7" s="19"/>
      <c r="EU7" s="19"/>
      <c r="EV7" s="19"/>
      <c r="EW7" s="19"/>
      <c r="EY7" s="52"/>
      <c r="EZ7" s="19"/>
      <c r="FA7" s="19"/>
      <c r="FB7" s="19"/>
      <c r="FC7" s="19">
        <v>524</v>
      </c>
      <c r="FD7" s="19">
        <v>203</v>
      </c>
      <c r="FF7" s="52"/>
      <c r="FG7" s="19"/>
      <c r="FH7" s="19"/>
      <c r="FI7" s="19"/>
      <c r="FJ7" s="19"/>
      <c r="FK7" s="19"/>
      <c r="FM7" s="52"/>
      <c r="FN7" s="19"/>
      <c r="FO7" s="19"/>
      <c r="FP7" s="19"/>
      <c r="FQ7" s="19">
        <v>551</v>
      </c>
      <c r="FR7" s="19">
        <v>240</v>
      </c>
      <c r="FT7" s="52"/>
      <c r="FU7" s="19"/>
      <c r="FV7" s="19"/>
      <c r="FW7" s="19"/>
      <c r="FX7" s="19">
        <v>571</v>
      </c>
      <c r="FY7" s="19">
        <v>250</v>
      </c>
      <c r="GA7" s="52"/>
      <c r="GB7" s="19"/>
      <c r="GC7" s="19"/>
      <c r="GD7" s="19"/>
      <c r="GE7" s="19">
        <v>589</v>
      </c>
      <c r="GF7" s="19">
        <v>190</v>
      </c>
    </row>
    <row r="8" spans="1:188" x14ac:dyDescent="0.35">
      <c r="A8" s="51">
        <v>421</v>
      </c>
      <c r="B8" s="19">
        <v>159</v>
      </c>
      <c r="C8" s="19">
        <v>164</v>
      </c>
      <c r="D8" s="19">
        <f>C8-B8</f>
        <v>5</v>
      </c>
      <c r="E8" s="23">
        <v>163</v>
      </c>
      <c r="F8" s="23">
        <v>276</v>
      </c>
      <c r="G8" s="26"/>
      <c r="H8" s="51">
        <v>421</v>
      </c>
      <c r="I8" s="19">
        <v>164</v>
      </c>
      <c r="J8" s="19">
        <v>169</v>
      </c>
      <c r="K8" s="19">
        <f>J8-I8</f>
        <v>5</v>
      </c>
      <c r="L8" s="23"/>
      <c r="M8" s="23"/>
      <c r="N8" s="26"/>
      <c r="O8" s="51">
        <v>421</v>
      </c>
      <c r="P8" s="19">
        <v>179</v>
      </c>
      <c r="Q8" s="19">
        <v>199</v>
      </c>
      <c r="R8" s="19">
        <f>Q8-P8</f>
        <v>20</v>
      </c>
      <c r="S8" s="23">
        <v>183</v>
      </c>
      <c r="T8" s="23">
        <v>330</v>
      </c>
      <c r="U8" s="26"/>
      <c r="V8" s="51">
        <v>421</v>
      </c>
      <c r="W8" s="19">
        <v>199</v>
      </c>
      <c r="X8" s="19">
        <v>209</v>
      </c>
      <c r="Y8" s="19">
        <f>X8-W8</f>
        <v>10</v>
      </c>
      <c r="Z8" s="23">
        <v>204</v>
      </c>
      <c r="AA8" s="23">
        <v>337</v>
      </c>
      <c r="AB8" s="26"/>
      <c r="AC8" s="51">
        <v>421</v>
      </c>
      <c r="AD8" s="19">
        <v>220</v>
      </c>
      <c r="AE8" s="19">
        <v>240</v>
      </c>
      <c r="AF8" s="19">
        <f>AE8-AD8</f>
        <v>20</v>
      </c>
      <c r="AG8" s="23">
        <v>224</v>
      </c>
      <c r="AH8" s="23">
        <v>200</v>
      </c>
      <c r="AI8" s="26"/>
      <c r="AJ8" s="51">
        <v>421</v>
      </c>
      <c r="AK8" s="19">
        <v>240</v>
      </c>
      <c r="AL8" s="19">
        <v>250</v>
      </c>
      <c r="AM8" s="19">
        <f>AL8-AK8</f>
        <v>10</v>
      </c>
      <c r="AN8" s="23">
        <v>244</v>
      </c>
      <c r="AO8" s="23">
        <v>150</v>
      </c>
      <c r="AQ8" s="51">
        <v>421</v>
      </c>
      <c r="AR8" s="19">
        <v>261</v>
      </c>
      <c r="AS8" s="19">
        <v>270</v>
      </c>
      <c r="AT8" s="19">
        <f>AS8-AR8</f>
        <v>9</v>
      </c>
      <c r="AU8" s="23">
        <v>265</v>
      </c>
      <c r="AV8" s="23">
        <v>268</v>
      </c>
      <c r="AX8" s="51">
        <v>421</v>
      </c>
      <c r="AY8" s="19">
        <v>278</v>
      </c>
      <c r="AZ8" s="19">
        <v>297</v>
      </c>
      <c r="BA8" s="19">
        <f>AZ8-AY8</f>
        <v>19</v>
      </c>
      <c r="BB8" s="23">
        <v>282</v>
      </c>
      <c r="BC8" s="23">
        <v>270</v>
      </c>
      <c r="BD8" s="26"/>
      <c r="BE8" s="51">
        <v>421</v>
      </c>
      <c r="BF8" s="19">
        <v>297</v>
      </c>
      <c r="BG8" s="19">
        <v>305</v>
      </c>
      <c r="BH8" s="19">
        <f>BG8-BF8</f>
        <v>8</v>
      </c>
      <c r="BI8" s="23">
        <v>300</v>
      </c>
      <c r="BJ8" s="23">
        <v>203</v>
      </c>
      <c r="BK8" s="26"/>
      <c r="BL8" s="51">
        <v>421</v>
      </c>
      <c r="BM8" s="19">
        <v>316</v>
      </c>
      <c r="BN8" s="19">
        <v>325</v>
      </c>
      <c r="BO8" s="19">
        <f>BN8-BM8</f>
        <v>9</v>
      </c>
      <c r="BP8" s="23">
        <v>319</v>
      </c>
      <c r="BQ8" s="23">
        <v>220</v>
      </c>
      <c r="BS8" s="51">
        <v>421</v>
      </c>
      <c r="BT8" s="19">
        <v>335</v>
      </c>
      <c r="BU8" s="19">
        <v>340</v>
      </c>
      <c r="BV8" s="19">
        <f>BU8-BT8</f>
        <v>5</v>
      </c>
      <c r="BW8" s="23">
        <v>340</v>
      </c>
      <c r="BX8" s="23">
        <v>315</v>
      </c>
      <c r="BZ8" s="51">
        <v>421</v>
      </c>
      <c r="CA8" s="19">
        <v>340</v>
      </c>
      <c r="CB8" s="19">
        <v>360</v>
      </c>
      <c r="CC8" s="19">
        <f>CB8-CA8</f>
        <v>20</v>
      </c>
      <c r="CD8" s="19">
        <v>344</v>
      </c>
      <c r="CE8" s="19">
        <v>160</v>
      </c>
      <c r="CG8" s="51">
        <v>421</v>
      </c>
      <c r="CH8" s="19">
        <v>360</v>
      </c>
      <c r="CI8" s="19">
        <v>380</v>
      </c>
      <c r="CJ8" s="19">
        <f>CI8-CH8</f>
        <v>20</v>
      </c>
      <c r="CK8" s="19">
        <v>363</v>
      </c>
      <c r="CL8" s="19">
        <v>350</v>
      </c>
      <c r="CN8" s="51">
        <v>421</v>
      </c>
      <c r="CO8" s="19">
        <v>380</v>
      </c>
      <c r="CP8" s="19">
        <v>396</v>
      </c>
      <c r="CQ8" s="19">
        <f>CP8-CO8</f>
        <v>16</v>
      </c>
      <c r="CR8" s="19">
        <v>383</v>
      </c>
      <c r="CS8" s="19">
        <v>224</v>
      </c>
      <c r="CU8" s="51">
        <v>421</v>
      </c>
      <c r="CV8" s="19">
        <v>416</v>
      </c>
      <c r="CW8" s="19">
        <v>434</v>
      </c>
      <c r="CX8" s="19">
        <f>CW8-CV8</f>
        <v>18</v>
      </c>
      <c r="CY8" s="19">
        <v>421</v>
      </c>
      <c r="CZ8" s="19">
        <v>300</v>
      </c>
      <c r="DB8" s="51">
        <v>421</v>
      </c>
      <c r="DC8" s="19">
        <v>434</v>
      </c>
      <c r="DD8" s="19">
        <v>452</v>
      </c>
      <c r="DE8" s="19">
        <f>DD8-DC8</f>
        <v>18</v>
      </c>
      <c r="DF8" s="19">
        <v>439</v>
      </c>
      <c r="DG8" s="19">
        <v>160</v>
      </c>
      <c r="DI8" s="51">
        <v>421</v>
      </c>
      <c r="DJ8" s="19">
        <v>452</v>
      </c>
      <c r="DK8" s="19">
        <v>469</v>
      </c>
      <c r="DL8" s="19">
        <f>DK8-DJ8</f>
        <v>17</v>
      </c>
      <c r="DM8" s="19">
        <v>454</v>
      </c>
      <c r="DN8" s="19">
        <v>250</v>
      </c>
      <c r="DP8" s="51">
        <v>421</v>
      </c>
      <c r="DQ8" s="19">
        <v>469</v>
      </c>
      <c r="DR8" s="19">
        <v>479</v>
      </c>
      <c r="DS8" s="19">
        <f>DR8-DQ8</f>
        <v>10</v>
      </c>
      <c r="DT8" s="23">
        <v>472</v>
      </c>
      <c r="DU8" s="23">
        <v>250</v>
      </c>
      <c r="DW8" s="51">
        <v>421</v>
      </c>
      <c r="DX8" s="19">
        <v>479</v>
      </c>
      <c r="DY8" s="19">
        <v>489</v>
      </c>
      <c r="DZ8" s="19">
        <f>DY8-DX8</f>
        <v>10</v>
      </c>
      <c r="EA8" s="23">
        <v>483</v>
      </c>
      <c r="EB8" s="23">
        <v>261</v>
      </c>
      <c r="ED8" s="51">
        <v>421</v>
      </c>
      <c r="EE8" s="19">
        <v>489</v>
      </c>
      <c r="EF8" s="19">
        <v>506</v>
      </c>
      <c r="EG8" s="19">
        <f>EF8-EE8</f>
        <v>17</v>
      </c>
      <c r="EH8" s="23">
        <v>493</v>
      </c>
      <c r="EI8" s="23">
        <v>174</v>
      </c>
      <c r="EK8" s="51">
        <v>421</v>
      </c>
      <c r="EL8" s="19"/>
      <c r="EM8" s="19"/>
      <c r="EN8" s="19"/>
      <c r="EO8" s="23"/>
      <c r="EP8" s="23"/>
      <c r="ER8" s="51">
        <v>421</v>
      </c>
      <c r="ES8" s="19"/>
      <c r="ET8" s="19"/>
      <c r="EU8" s="19"/>
      <c r="EV8" s="23"/>
      <c r="EW8" s="23"/>
      <c r="EY8" s="51">
        <v>421</v>
      </c>
      <c r="EZ8" s="19">
        <v>516</v>
      </c>
      <c r="FA8" s="19">
        <v>530</v>
      </c>
      <c r="FB8" s="19">
        <f>FA8-EZ8</f>
        <v>14</v>
      </c>
      <c r="FC8" s="23"/>
      <c r="FD8" s="23"/>
      <c r="FF8" s="51">
        <v>421</v>
      </c>
      <c r="FG8" s="19"/>
      <c r="FH8" s="19"/>
      <c r="FI8" s="19"/>
      <c r="FJ8" s="23"/>
      <c r="FK8" s="23"/>
      <c r="FM8" s="51">
        <v>421</v>
      </c>
      <c r="FN8" s="19">
        <v>540</v>
      </c>
      <c r="FO8" s="19">
        <v>558</v>
      </c>
      <c r="FP8" s="19">
        <f>FO8-FN8</f>
        <v>18</v>
      </c>
      <c r="FQ8" s="23">
        <v>552</v>
      </c>
      <c r="FR8" s="23">
        <v>450</v>
      </c>
      <c r="FT8" s="51">
        <v>421</v>
      </c>
      <c r="FU8" s="19">
        <v>558</v>
      </c>
      <c r="FV8" s="19">
        <v>579</v>
      </c>
      <c r="FW8" s="19">
        <f>FV8-FU8</f>
        <v>21</v>
      </c>
      <c r="FX8" s="23">
        <v>573</v>
      </c>
      <c r="FY8" s="23">
        <v>233</v>
      </c>
      <c r="GA8" s="51">
        <v>421</v>
      </c>
      <c r="GB8" s="19">
        <v>579</v>
      </c>
      <c r="GC8" s="19">
        <v>598</v>
      </c>
      <c r="GD8" s="19">
        <f>GC8-GB8</f>
        <v>19</v>
      </c>
      <c r="GE8" s="23">
        <v>582</v>
      </c>
      <c r="GF8" s="23">
        <v>180</v>
      </c>
    </row>
    <row r="9" spans="1:188" x14ac:dyDescent="0.35">
      <c r="A9" s="52"/>
      <c r="B9" s="19"/>
      <c r="C9" s="19"/>
      <c r="D9" s="19"/>
      <c r="E9" s="23"/>
      <c r="F9" s="23"/>
      <c r="G9" s="26"/>
      <c r="H9" s="52"/>
      <c r="I9" s="19"/>
      <c r="J9" s="19"/>
      <c r="K9" s="19"/>
      <c r="L9" s="23"/>
      <c r="M9" s="23"/>
      <c r="N9" s="26"/>
      <c r="O9" s="52"/>
      <c r="P9" s="19"/>
      <c r="Q9" s="19"/>
      <c r="R9" s="19"/>
      <c r="S9" s="23">
        <v>193</v>
      </c>
      <c r="T9" s="23">
        <v>250</v>
      </c>
      <c r="U9" s="26"/>
      <c r="V9" s="52"/>
      <c r="W9" s="19"/>
      <c r="X9" s="19"/>
      <c r="Y9" s="19"/>
      <c r="Z9" s="23"/>
      <c r="AA9" s="23"/>
      <c r="AB9" s="26"/>
      <c r="AC9" s="52"/>
      <c r="AD9" s="19"/>
      <c r="AE9" s="19"/>
      <c r="AF9" s="19"/>
      <c r="AG9" s="23">
        <v>234</v>
      </c>
      <c r="AH9" s="23">
        <v>386</v>
      </c>
      <c r="AI9" s="26"/>
      <c r="AJ9" s="52"/>
      <c r="AK9" s="19"/>
      <c r="AL9" s="19"/>
      <c r="AM9" s="19"/>
      <c r="AN9" s="23"/>
      <c r="AO9" s="23"/>
      <c r="AQ9" s="52"/>
      <c r="AR9" s="19"/>
      <c r="AS9" s="19"/>
      <c r="AT9" s="19"/>
      <c r="AU9" s="23"/>
      <c r="AV9" s="23"/>
      <c r="AX9" s="52"/>
      <c r="AY9" s="19"/>
      <c r="AZ9" s="19"/>
      <c r="BA9" s="19"/>
      <c r="BB9" s="23">
        <v>293</v>
      </c>
      <c r="BC9" s="23">
        <v>222</v>
      </c>
      <c r="BD9" s="26"/>
      <c r="BE9" s="52"/>
      <c r="BF9" s="19"/>
      <c r="BG9" s="19"/>
      <c r="BH9" s="19"/>
      <c r="BI9" s="23"/>
      <c r="BJ9" s="23"/>
      <c r="BK9" s="26"/>
      <c r="BL9" s="52"/>
      <c r="BM9" s="19"/>
      <c r="BN9" s="19"/>
      <c r="BO9" s="19"/>
      <c r="BP9" s="23"/>
      <c r="BQ9" s="23"/>
      <c r="BS9" s="52"/>
      <c r="BT9" s="19"/>
      <c r="BU9" s="19"/>
      <c r="BV9" s="19"/>
      <c r="BW9" s="23"/>
      <c r="BX9" s="23"/>
      <c r="BZ9" s="52"/>
      <c r="CA9" s="19"/>
      <c r="CB9" s="19"/>
      <c r="CC9" s="19"/>
      <c r="CD9" s="19">
        <v>355</v>
      </c>
      <c r="CE9" s="19">
        <v>129</v>
      </c>
      <c r="CG9" s="52"/>
      <c r="CH9" s="19"/>
      <c r="CI9" s="19"/>
      <c r="CJ9" s="19"/>
      <c r="CK9" s="19">
        <v>375</v>
      </c>
      <c r="CL9" s="19">
        <v>269</v>
      </c>
      <c r="CN9" s="52"/>
      <c r="CO9" s="19"/>
      <c r="CP9" s="19"/>
      <c r="CQ9" s="19"/>
      <c r="CR9" s="19">
        <v>390</v>
      </c>
      <c r="CS9" s="19">
        <v>210</v>
      </c>
      <c r="CU9" s="52"/>
      <c r="CV9" s="19"/>
      <c r="CW9" s="19"/>
      <c r="CX9" s="19"/>
      <c r="CY9" s="19">
        <v>427</v>
      </c>
      <c r="CZ9" s="19">
        <v>168</v>
      </c>
      <c r="DB9" s="52"/>
      <c r="DC9" s="19"/>
      <c r="DD9" s="19"/>
      <c r="DE9" s="19"/>
      <c r="DF9" s="19">
        <v>447</v>
      </c>
      <c r="DG9" s="19">
        <v>300</v>
      </c>
      <c r="DI9" s="52"/>
      <c r="DJ9" s="19"/>
      <c r="DK9" s="19"/>
      <c r="DL9" s="19"/>
      <c r="DM9" s="19">
        <v>462</v>
      </c>
      <c r="DN9" s="19">
        <v>230</v>
      </c>
      <c r="DP9" s="52"/>
      <c r="DQ9" s="19"/>
      <c r="DR9" s="19"/>
      <c r="DS9" s="19"/>
      <c r="DT9" s="23"/>
      <c r="DU9" s="23"/>
      <c r="DW9" s="52"/>
      <c r="DX9" s="19"/>
      <c r="DY9" s="19"/>
      <c r="DZ9" s="19"/>
      <c r="EA9" s="23">
        <v>481</v>
      </c>
      <c r="EB9" s="23">
        <v>63</v>
      </c>
      <c r="ED9" s="52"/>
      <c r="EE9" s="19"/>
      <c r="EF9" s="19"/>
      <c r="EG9" s="19"/>
      <c r="EH9" s="23">
        <v>500</v>
      </c>
      <c r="EI9" s="23">
        <v>200</v>
      </c>
      <c r="EK9" s="52"/>
      <c r="EL9" s="19"/>
      <c r="EM9" s="19"/>
      <c r="EN9" s="19"/>
      <c r="EO9" s="23"/>
      <c r="EP9" s="23"/>
      <c r="ER9" s="52"/>
      <c r="ES9" s="19"/>
      <c r="ET9" s="19"/>
      <c r="EU9" s="19"/>
      <c r="EV9" s="23"/>
      <c r="EW9" s="23"/>
      <c r="EY9" s="52"/>
      <c r="EZ9" s="19"/>
      <c r="FA9" s="19"/>
      <c r="FB9" s="19"/>
      <c r="FC9" s="23">
        <v>525</v>
      </c>
      <c r="FD9" s="23">
        <v>170</v>
      </c>
      <c r="FF9" s="52"/>
      <c r="FG9" s="19"/>
      <c r="FH9" s="19"/>
      <c r="FI9" s="19"/>
      <c r="FJ9" s="23"/>
      <c r="FK9" s="23"/>
      <c r="FM9" s="52"/>
      <c r="FN9" s="19"/>
      <c r="FO9" s="19"/>
      <c r="FP9" s="19"/>
      <c r="FQ9" s="23"/>
      <c r="FR9" s="23"/>
      <c r="FT9" s="52"/>
      <c r="FU9" s="19"/>
      <c r="FV9" s="19"/>
      <c r="FW9" s="19"/>
      <c r="FX9" s="23"/>
      <c r="FY9" s="23"/>
      <c r="GA9" s="52"/>
      <c r="GB9" s="19"/>
      <c r="GC9" s="19"/>
      <c r="GD9" s="19"/>
      <c r="GE9" s="23">
        <v>593</v>
      </c>
      <c r="GF9" s="23">
        <v>220</v>
      </c>
    </row>
    <row r="10" spans="1:188" x14ac:dyDescent="0.35">
      <c r="A10" s="51">
        <v>424</v>
      </c>
      <c r="B10" s="19">
        <v>242</v>
      </c>
      <c r="C10" s="19">
        <v>247</v>
      </c>
      <c r="D10" s="19">
        <f>C10-B10</f>
        <v>5</v>
      </c>
      <c r="E10" s="19">
        <v>246</v>
      </c>
      <c r="F10" s="19">
        <v>236</v>
      </c>
      <c r="H10" s="51">
        <v>424</v>
      </c>
      <c r="I10" s="19">
        <v>247</v>
      </c>
      <c r="J10" s="19">
        <v>252</v>
      </c>
      <c r="K10" s="19">
        <f>J10-I10</f>
        <v>5</v>
      </c>
      <c r="L10" s="19"/>
      <c r="M10" s="19"/>
      <c r="O10" s="51">
        <v>424</v>
      </c>
      <c r="P10" s="19"/>
      <c r="Q10" s="19"/>
      <c r="R10" s="19"/>
      <c r="S10" s="19"/>
      <c r="T10" s="19"/>
      <c r="V10" s="51">
        <v>424</v>
      </c>
      <c r="W10" s="19">
        <v>271</v>
      </c>
      <c r="X10" s="19">
        <v>281</v>
      </c>
      <c r="Y10" s="19">
        <f>X10-W10</f>
        <v>10</v>
      </c>
      <c r="Z10" s="19">
        <v>276</v>
      </c>
      <c r="AA10" s="19">
        <v>296</v>
      </c>
      <c r="AC10" s="51">
        <v>424</v>
      </c>
      <c r="AD10" s="19">
        <v>291</v>
      </c>
      <c r="AE10" s="19">
        <v>302</v>
      </c>
      <c r="AF10" s="19">
        <f>AE10-AD10</f>
        <v>11</v>
      </c>
      <c r="AG10" s="19">
        <v>296</v>
      </c>
      <c r="AH10" s="19">
        <v>216</v>
      </c>
      <c r="AJ10" s="51">
        <v>424</v>
      </c>
      <c r="AK10" s="19">
        <v>312</v>
      </c>
      <c r="AL10" s="19">
        <v>322</v>
      </c>
      <c r="AM10" s="19">
        <f>AL10-AK10</f>
        <v>10</v>
      </c>
      <c r="AN10" s="19">
        <v>316</v>
      </c>
      <c r="AO10" s="19">
        <v>206</v>
      </c>
      <c r="AQ10" s="51">
        <v>424</v>
      </c>
      <c r="AR10" s="19">
        <v>332</v>
      </c>
      <c r="AS10" s="19">
        <v>342</v>
      </c>
      <c r="AT10" s="19">
        <f>AS10-AR10</f>
        <v>10</v>
      </c>
      <c r="AU10" s="19">
        <v>336</v>
      </c>
      <c r="AV10" s="19">
        <v>280</v>
      </c>
      <c r="AX10" s="51">
        <v>424</v>
      </c>
      <c r="AY10" s="19">
        <v>352</v>
      </c>
      <c r="AZ10" s="19">
        <v>362</v>
      </c>
      <c r="BA10" s="19">
        <f>AZ10-AY10</f>
        <v>10</v>
      </c>
      <c r="BB10" s="19">
        <v>356</v>
      </c>
      <c r="BC10" s="19">
        <v>200</v>
      </c>
      <c r="BE10" s="51">
        <v>424</v>
      </c>
      <c r="BF10" s="19">
        <v>371</v>
      </c>
      <c r="BG10" s="19">
        <v>381</v>
      </c>
      <c r="BH10" s="19">
        <f>BG10-BF10</f>
        <v>10</v>
      </c>
      <c r="BI10" s="19">
        <v>375</v>
      </c>
      <c r="BJ10" s="19">
        <v>183</v>
      </c>
      <c r="BL10" s="51">
        <v>424</v>
      </c>
      <c r="BM10" s="19">
        <v>387</v>
      </c>
      <c r="BN10" s="19">
        <v>397</v>
      </c>
      <c r="BO10" s="19">
        <f>BN10-BM10</f>
        <v>10</v>
      </c>
      <c r="BP10" s="19">
        <v>391</v>
      </c>
      <c r="BQ10" s="19">
        <v>174</v>
      </c>
      <c r="BS10" s="51">
        <v>424</v>
      </c>
      <c r="BT10" s="19">
        <v>407</v>
      </c>
      <c r="BU10" s="19">
        <v>421</v>
      </c>
      <c r="BV10" s="19">
        <f>BU10-BT10</f>
        <v>14</v>
      </c>
      <c r="BW10" s="19">
        <v>412</v>
      </c>
      <c r="BX10" s="19">
        <v>152</v>
      </c>
      <c r="BZ10" s="51">
        <v>424</v>
      </c>
      <c r="CA10" s="19">
        <v>421</v>
      </c>
      <c r="CB10" s="19">
        <v>440</v>
      </c>
      <c r="CC10" s="19">
        <f>CB10-CA10</f>
        <v>19</v>
      </c>
      <c r="CD10" s="19">
        <v>424</v>
      </c>
      <c r="CE10" s="19">
        <v>280</v>
      </c>
      <c r="CG10" s="51">
        <v>424</v>
      </c>
      <c r="CH10" s="19">
        <v>440</v>
      </c>
      <c r="CI10" s="19">
        <v>457</v>
      </c>
      <c r="CJ10" s="19">
        <f>CI10-CH10</f>
        <v>17</v>
      </c>
      <c r="CK10" s="19">
        <v>444</v>
      </c>
      <c r="CL10" s="19">
        <v>178</v>
      </c>
      <c r="CN10" s="51">
        <v>424</v>
      </c>
      <c r="CO10" s="19">
        <v>457</v>
      </c>
      <c r="CP10" s="19">
        <v>463</v>
      </c>
      <c r="CQ10" s="19">
        <f>CP10-CO10</f>
        <v>6</v>
      </c>
      <c r="CR10" s="19">
        <v>462</v>
      </c>
      <c r="CS10" s="19">
        <v>163</v>
      </c>
      <c r="CU10" s="51">
        <v>424</v>
      </c>
      <c r="CV10" s="19">
        <v>487</v>
      </c>
      <c r="CW10" s="19">
        <v>501</v>
      </c>
      <c r="CX10" s="19">
        <f>CW10-CV10</f>
        <v>14</v>
      </c>
      <c r="CY10" s="19">
        <v>489</v>
      </c>
      <c r="CZ10" s="19">
        <v>280</v>
      </c>
      <c r="DB10" s="51">
        <v>424</v>
      </c>
      <c r="DC10" s="19">
        <v>501</v>
      </c>
      <c r="DD10" s="19">
        <v>519</v>
      </c>
      <c r="DE10" s="19">
        <f>DD10-DC10</f>
        <v>18</v>
      </c>
      <c r="DF10" s="19">
        <v>505</v>
      </c>
      <c r="DG10" s="19">
        <v>313</v>
      </c>
      <c r="DI10" s="51">
        <v>424</v>
      </c>
      <c r="DJ10" s="19">
        <v>519</v>
      </c>
      <c r="DK10" s="19">
        <v>536</v>
      </c>
      <c r="DL10" s="19">
        <f>DK10-DJ10</f>
        <v>17</v>
      </c>
      <c r="DM10" s="19">
        <v>520</v>
      </c>
      <c r="DN10" s="19">
        <v>191</v>
      </c>
      <c r="DP10" s="51">
        <v>424</v>
      </c>
      <c r="DQ10" s="19">
        <v>536</v>
      </c>
      <c r="DR10" s="19">
        <v>545</v>
      </c>
      <c r="DS10" s="19">
        <f>DR10-DQ10</f>
        <v>9</v>
      </c>
      <c r="DT10" s="19">
        <v>539</v>
      </c>
      <c r="DU10" s="19">
        <v>240</v>
      </c>
      <c r="DW10" s="51">
        <v>424</v>
      </c>
      <c r="DX10" s="19">
        <v>545</v>
      </c>
      <c r="DY10" s="19">
        <v>560</v>
      </c>
      <c r="DZ10" s="19">
        <f>DY10-DX10</f>
        <v>15</v>
      </c>
      <c r="EA10" s="19">
        <v>549</v>
      </c>
      <c r="EB10" s="19">
        <v>191</v>
      </c>
      <c r="ED10" s="51">
        <v>424</v>
      </c>
      <c r="EE10" s="19">
        <v>560</v>
      </c>
      <c r="EF10" s="19">
        <v>569</v>
      </c>
      <c r="EG10" s="19">
        <f>EF10-EE10</f>
        <v>9</v>
      </c>
      <c r="EH10" s="19">
        <v>563</v>
      </c>
      <c r="EI10" s="19">
        <v>300</v>
      </c>
      <c r="EK10" s="51">
        <v>424</v>
      </c>
      <c r="EL10" s="19"/>
      <c r="EM10" s="19"/>
      <c r="EN10" s="19"/>
      <c r="EO10" s="19"/>
      <c r="EP10" s="19"/>
      <c r="ER10" s="51">
        <v>424</v>
      </c>
      <c r="ES10" s="19"/>
      <c r="ET10" s="19"/>
      <c r="EU10" s="19"/>
      <c r="EV10" s="19"/>
      <c r="EW10" s="19"/>
      <c r="EY10" s="51">
        <v>424</v>
      </c>
      <c r="EZ10" s="19">
        <v>584</v>
      </c>
      <c r="FA10" s="19">
        <v>599</v>
      </c>
      <c r="FB10" s="19">
        <f>FA10-EZ10</f>
        <v>15</v>
      </c>
      <c r="FC10" s="19">
        <v>585</v>
      </c>
      <c r="FD10" s="19">
        <v>201</v>
      </c>
      <c r="FF10" s="51">
        <v>424</v>
      </c>
      <c r="FG10" s="19"/>
      <c r="FH10" s="19"/>
      <c r="FI10" s="19"/>
      <c r="FJ10" s="19"/>
      <c r="FK10" s="19"/>
      <c r="FM10" s="51">
        <v>424</v>
      </c>
      <c r="FN10" s="19">
        <v>609</v>
      </c>
      <c r="FO10" s="19">
        <v>624</v>
      </c>
      <c r="FP10" s="19">
        <f>FO10-FN10</f>
        <v>15</v>
      </c>
      <c r="FQ10" s="19">
        <v>612</v>
      </c>
      <c r="FR10" s="19">
        <v>250</v>
      </c>
      <c r="FT10" s="51">
        <v>424</v>
      </c>
      <c r="FU10" s="19">
        <v>624</v>
      </c>
      <c r="FV10" s="19">
        <v>644</v>
      </c>
      <c r="FW10" s="19">
        <f>FV10-FU10</f>
        <v>20</v>
      </c>
      <c r="FX10" s="19">
        <v>629</v>
      </c>
      <c r="FY10" s="19">
        <v>215</v>
      </c>
      <c r="GA10" s="51">
        <v>424</v>
      </c>
      <c r="GB10" s="19">
        <v>644</v>
      </c>
      <c r="GC10" s="19">
        <v>661</v>
      </c>
      <c r="GD10" s="19">
        <f>GC10-GB10</f>
        <v>17</v>
      </c>
      <c r="GE10" s="19">
        <v>649</v>
      </c>
      <c r="GF10" s="19">
        <v>197</v>
      </c>
    </row>
    <row r="11" spans="1:188" x14ac:dyDescent="0.35">
      <c r="A11" s="52"/>
      <c r="B11" s="19"/>
      <c r="C11" s="19"/>
      <c r="D11" s="19"/>
      <c r="E11" s="19"/>
      <c r="F11" s="19"/>
      <c r="H11" s="52"/>
      <c r="I11" s="19"/>
      <c r="J11" s="19"/>
      <c r="K11" s="19"/>
      <c r="L11" s="19"/>
      <c r="M11" s="19"/>
      <c r="O11" s="52"/>
      <c r="P11" s="19"/>
      <c r="Q11" s="19"/>
      <c r="R11" s="19"/>
      <c r="S11" s="19"/>
      <c r="T11" s="19"/>
      <c r="V11" s="52"/>
      <c r="W11" s="19"/>
      <c r="X11" s="19"/>
      <c r="Y11" s="19"/>
      <c r="Z11" s="19"/>
      <c r="AA11" s="19"/>
      <c r="AC11" s="52"/>
      <c r="AD11" s="19"/>
      <c r="AE11" s="19"/>
      <c r="AF11" s="19"/>
      <c r="AG11" s="19"/>
      <c r="AH11" s="19"/>
      <c r="AJ11" s="52"/>
      <c r="AK11" s="19"/>
      <c r="AL11" s="19"/>
      <c r="AM11" s="19"/>
      <c r="AN11" s="19"/>
      <c r="AO11" s="19"/>
      <c r="AQ11" s="52"/>
      <c r="AR11" s="19"/>
      <c r="AS11" s="19"/>
      <c r="AT11" s="19"/>
      <c r="AU11" s="19"/>
      <c r="AV11" s="19"/>
      <c r="AX11" s="52"/>
      <c r="AY11" s="19"/>
      <c r="AZ11" s="19"/>
      <c r="BA11" s="19"/>
      <c r="BB11" s="19"/>
      <c r="BC11" s="19"/>
      <c r="BE11" s="52"/>
      <c r="BF11" s="19"/>
      <c r="BG11" s="19"/>
      <c r="BH11" s="19"/>
      <c r="BI11" s="19"/>
      <c r="BJ11" s="19"/>
      <c r="BL11" s="52"/>
      <c r="BM11" s="19"/>
      <c r="BN11" s="19"/>
      <c r="BO11" s="19"/>
      <c r="BP11" s="19"/>
      <c r="BQ11" s="19"/>
      <c r="BS11" s="52"/>
      <c r="BT11" s="19"/>
      <c r="BU11" s="19"/>
      <c r="BV11" s="19"/>
      <c r="BW11" s="19">
        <v>415</v>
      </c>
      <c r="BX11" s="19">
        <v>150</v>
      </c>
      <c r="BZ11" s="52"/>
      <c r="CA11" s="19"/>
      <c r="CB11" s="19"/>
      <c r="CC11" s="19"/>
      <c r="CD11" s="19">
        <v>435</v>
      </c>
      <c r="CE11" s="19">
        <v>190</v>
      </c>
      <c r="CG11" s="52"/>
      <c r="CH11" s="19"/>
      <c r="CI11" s="19"/>
      <c r="CJ11" s="19"/>
      <c r="CK11" s="19">
        <v>453</v>
      </c>
      <c r="CL11" s="19">
        <v>230</v>
      </c>
      <c r="CN11" s="52"/>
      <c r="CO11" s="19"/>
      <c r="CP11" s="19"/>
      <c r="CQ11" s="19"/>
      <c r="CR11" s="19"/>
      <c r="CS11" s="19"/>
      <c r="CU11" s="52"/>
      <c r="CV11" s="19"/>
      <c r="CW11" s="19"/>
      <c r="CX11" s="19"/>
      <c r="CY11" s="19">
        <v>495</v>
      </c>
      <c r="CZ11" s="19">
        <v>123</v>
      </c>
      <c r="DB11" s="52"/>
      <c r="DC11" s="19"/>
      <c r="DD11" s="19"/>
      <c r="DE11" s="19"/>
      <c r="DF11" s="19">
        <v>515</v>
      </c>
      <c r="DG11" s="19">
        <v>230</v>
      </c>
      <c r="DI11" s="52"/>
      <c r="DJ11" s="19"/>
      <c r="DK11" s="19"/>
      <c r="DL11" s="19"/>
      <c r="DM11" s="19">
        <v>530</v>
      </c>
      <c r="DN11" s="19">
        <v>210</v>
      </c>
      <c r="DP11" s="52"/>
      <c r="DQ11" s="19"/>
      <c r="DR11" s="19"/>
      <c r="DS11" s="19"/>
      <c r="DT11" s="19"/>
      <c r="DU11" s="19"/>
      <c r="DW11" s="52"/>
      <c r="DX11" s="19"/>
      <c r="DY11" s="19"/>
      <c r="DZ11" s="19"/>
      <c r="EA11" s="19">
        <v>553</v>
      </c>
      <c r="EB11" s="19">
        <v>163</v>
      </c>
      <c r="ED11" s="52"/>
      <c r="EE11" s="19"/>
      <c r="EF11" s="19"/>
      <c r="EG11" s="19"/>
      <c r="EH11" s="19"/>
      <c r="EI11" s="19"/>
      <c r="EK11" s="52"/>
      <c r="EL11" s="19"/>
      <c r="EM11" s="19"/>
      <c r="EN11" s="19"/>
      <c r="EO11" s="19"/>
      <c r="EP11" s="19"/>
      <c r="ER11" s="52"/>
      <c r="ES11" s="19"/>
      <c r="ET11" s="19"/>
      <c r="EU11" s="19"/>
      <c r="EV11" s="19"/>
      <c r="EW11" s="19"/>
      <c r="EY11" s="52"/>
      <c r="EZ11" s="19"/>
      <c r="FA11" s="19"/>
      <c r="FB11" s="19"/>
      <c r="FC11" s="19">
        <v>593</v>
      </c>
      <c r="FD11" s="19">
        <v>188</v>
      </c>
      <c r="FF11" s="52"/>
      <c r="FG11" s="19"/>
      <c r="FH11" s="19"/>
      <c r="FI11" s="19"/>
      <c r="FJ11" s="19"/>
      <c r="FK11" s="19"/>
      <c r="FM11" s="52"/>
      <c r="FN11" s="19"/>
      <c r="FO11" s="19"/>
      <c r="FP11" s="19"/>
      <c r="FQ11" s="19">
        <v>618</v>
      </c>
      <c r="FR11" s="19">
        <v>110</v>
      </c>
      <c r="FT11" s="52"/>
      <c r="FU11" s="19"/>
      <c r="FV11" s="19"/>
      <c r="FW11" s="19"/>
      <c r="FX11" s="19">
        <v>638</v>
      </c>
      <c r="FY11" s="19">
        <v>300</v>
      </c>
      <c r="GA11" s="52"/>
      <c r="GB11" s="19"/>
      <c r="GC11" s="19"/>
      <c r="GD11" s="19"/>
      <c r="GE11" s="19"/>
      <c r="GF11" s="19"/>
    </row>
    <row r="12" spans="1:188" x14ac:dyDescent="0.35">
      <c r="A12" s="51">
        <v>425</v>
      </c>
      <c r="B12" s="19"/>
      <c r="C12" s="19"/>
      <c r="D12" s="19"/>
      <c r="E12" s="19"/>
      <c r="F12" s="19"/>
      <c r="H12" s="51">
        <v>425</v>
      </c>
      <c r="I12" s="19"/>
      <c r="J12" s="19"/>
      <c r="K12" s="19"/>
      <c r="L12" s="19"/>
      <c r="M12" s="19"/>
      <c r="O12" s="51">
        <v>425</v>
      </c>
      <c r="P12" s="19"/>
      <c r="Q12" s="19"/>
      <c r="R12" s="19"/>
      <c r="S12" s="19"/>
      <c r="T12" s="19"/>
      <c r="V12" s="51">
        <v>425</v>
      </c>
      <c r="W12" s="19"/>
      <c r="X12" s="19"/>
      <c r="Y12" s="19"/>
      <c r="Z12" s="19"/>
      <c r="AA12" s="19"/>
      <c r="AC12" s="51">
        <v>425</v>
      </c>
      <c r="AD12" s="19"/>
      <c r="AE12" s="19"/>
      <c r="AF12" s="19"/>
      <c r="AG12" s="19"/>
      <c r="AH12" s="19"/>
      <c r="AJ12" s="51">
        <v>425</v>
      </c>
      <c r="AK12" s="19"/>
      <c r="AL12" s="19"/>
      <c r="AM12" s="19"/>
      <c r="AN12" s="19"/>
      <c r="AO12" s="19"/>
      <c r="AQ12" s="51">
        <v>425</v>
      </c>
      <c r="AR12" s="19">
        <v>230</v>
      </c>
      <c r="AS12" s="19">
        <v>239</v>
      </c>
      <c r="AT12" s="19">
        <f>AS12-AR12</f>
        <v>9</v>
      </c>
      <c r="AU12" s="19">
        <v>234</v>
      </c>
      <c r="AV12" s="19">
        <v>250</v>
      </c>
      <c r="AX12" s="51">
        <v>425</v>
      </c>
      <c r="AY12" s="19">
        <v>249</v>
      </c>
      <c r="AZ12" s="19">
        <v>259</v>
      </c>
      <c r="BA12" s="19">
        <f>AZ12-AY12</f>
        <v>10</v>
      </c>
      <c r="BB12" s="19">
        <v>253</v>
      </c>
      <c r="BC12" s="19">
        <v>287</v>
      </c>
      <c r="BE12" s="51">
        <v>425</v>
      </c>
      <c r="BF12" s="19">
        <v>267</v>
      </c>
      <c r="BG12" s="19">
        <v>276</v>
      </c>
      <c r="BH12" s="19">
        <f>BG12-BF12</f>
        <v>9</v>
      </c>
      <c r="BI12" s="19">
        <v>271</v>
      </c>
      <c r="BJ12" s="19">
        <v>227</v>
      </c>
      <c r="BL12" s="51">
        <v>425</v>
      </c>
      <c r="BM12" s="19">
        <v>286</v>
      </c>
      <c r="BN12" s="19">
        <v>296</v>
      </c>
      <c r="BO12" s="19">
        <f>BN12-BM12</f>
        <v>10</v>
      </c>
      <c r="BP12" s="19">
        <v>290</v>
      </c>
      <c r="BQ12" s="19">
        <v>233</v>
      </c>
      <c r="BS12" s="51">
        <v>425</v>
      </c>
      <c r="BT12" s="19">
        <v>306</v>
      </c>
      <c r="BU12" s="19">
        <v>314</v>
      </c>
      <c r="BV12" s="19">
        <f>BU12-BT12</f>
        <v>8</v>
      </c>
      <c r="BW12" s="19">
        <v>311</v>
      </c>
      <c r="BX12" s="19">
        <v>270</v>
      </c>
      <c r="BZ12" s="51">
        <v>425</v>
      </c>
      <c r="CA12" s="19">
        <v>306</v>
      </c>
      <c r="CB12" s="19">
        <v>314</v>
      </c>
      <c r="CC12" s="19">
        <f>CB12-CA12</f>
        <v>8</v>
      </c>
      <c r="CD12" s="19">
        <v>311</v>
      </c>
      <c r="CE12" s="19">
        <v>270</v>
      </c>
      <c r="CG12" s="51">
        <v>425</v>
      </c>
      <c r="CH12" s="19">
        <v>332</v>
      </c>
      <c r="CI12" s="19">
        <v>351</v>
      </c>
      <c r="CJ12" s="19">
        <f>CI12-CH12</f>
        <v>19</v>
      </c>
      <c r="CK12" s="19">
        <v>333</v>
      </c>
      <c r="CL12" s="19">
        <v>382</v>
      </c>
      <c r="CN12" s="51">
        <v>425</v>
      </c>
      <c r="CO12" s="19">
        <v>351</v>
      </c>
      <c r="CP12" s="19">
        <v>367</v>
      </c>
      <c r="CQ12" s="19">
        <f>CP12-CO12</f>
        <v>16</v>
      </c>
      <c r="CR12" s="19">
        <v>354</v>
      </c>
      <c r="CS12" s="19">
        <v>245</v>
      </c>
      <c r="CU12" s="51">
        <v>425</v>
      </c>
      <c r="CV12" s="19">
        <v>382</v>
      </c>
      <c r="CW12" s="19">
        <v>399</v>
      </c>
      <c r="CX12" s="19">
        <f>CW12-CV12</f>
        <v>17</v>
      </c>
      <c r="CY12" s="19">
        <v>386</v>
      </c>
      <c r="CZ12" s="19">
        <v>225</v>
      </c>
      <c r="DB12" s="51">
        <v>425</v>
      </c>
      <c r="DC12" s="19">
        <v>399</v>
      </c>
      <c r="DD12" s="19">
        <v>416</v>
      </c>
      <c r="DE12" s="19">
        <f>DD12-DC12</f>
        <v>17</v>
      </c>
      <c r="DF12" s="19">
        <v>402</v>
      </c>
      <c r="DG12" s="19">
        <v>282</v>
      </c>
      <c r="DI12" s="51">
        <v>425</v>
      </c>
      <c r="DJ12" s="19">
        <v>416</v>
      </c>
      <c r="DK12" s="19">
        <v>433</v>
      </c>
      <c r="DL12" s="19">
        <f>DK12-DJ12</f>
        <v>17</v>
      </c>
      <c r="DM12" s="19">
        <v>418</v>
      </c>
      <c r="DN12" s="19">
        <v>196</v>
      </c>
      <c r="DP12" s="51">
        <v>425</v>
      </c>
      <c r="DQ12" s="19">
        <v>433</v>
      </c>
      <c r="DR12" s="19">
        <v>442</v>
      </c>
      <c r="DS12" s="19">
        <f>DR12-DQ12</f>
        <v>9</v>
      </c>
      <c r="DT12" s="19">
        <v>436</v>
      </c>
      <c r="DU12" s="19">
        <v>247</v>
      </c>
      <c r="DW12" s="51">
        <v>425</v>
      </c>
      <c r="DX12" s="19">
        <v>442</v>
      </c>
      <c r="DY12" s="19">
        <v>449</v>
      </c>
      <c r="DZ12" s="19">
        <f>DY12-DX12</f>
        <v>7</v>
      </c>
      <c r="EA12" s="19">
        <v>446</v>
      </c>
      <c r="EB12" s="19">
        <v>290</v>
      </c>
      <c r="ED12" s="51">
        <v>425</v>
      </c>
      <c r="EE12" s="19">
        <v>449</v>
      </c>
      <c r="EF12" s="19">
        <v>463</v>
      </c>
      <c r="EG12" s="19">
        <f>EF12-EE12</f>
        <v>14</v>
      </c>
      <c r="EH12" s="19">
        <v>450</v>
      </c>
      <c r="EI12" s="19">
        <v>135</v>
      </c>
      <c r="EK12" s="51">
        <v>425</v>
      </c>
      <c r="EL12" s="19"/>
      <c r="EM12" s="19"/>
      <c r="EN12" s="19"/>
      <c r="EO12" s="19"/>
      <c r="EP12" s="19"/>
      <c r="ER12" s="51">
        <v>425</v>
      </c>
      <c r="ES12" s="19"/>
      <c r="ET12" s="19"/>
      <c r="EU12" s="19"/>
      <c r="EV12" s="19"/>
      <c r="EW12" s="19"/>
      <c r="EY12" s="51">
        <v>425</v>
      </c>
      <c r="EZ12" s="19">
        <v>478</v>
      </c>
      <c r="FA12" s="19">
        <v>484</v>
      </c>
      <c r="FB12" s="19">
        <f>FA12-EZ12</f>
        <v>6</v>
      </c>
      <c r="FC12" s="19">
        <v>480</v>
      </c>
      <c r="FD12" s="19">
        <v>250</v>
      </c>
      <c r="FF12" s="51">
        <v>425</v>
      </c>
      <c r="FG12" s="19"/>
      <c r="FH12" s="19"/>
      <c r="FI12" s="19"/>
      <c r="FJ12" s="19"/>
      <c r="FK12" s="19"/>
      <c r="FM12" s="51">
        <v>425</v>
      </c>
      <c r="FN12" s="19">
        <v>488</v>
      </c>
      <c r="FO12" s="19">
        <v>489</v>
      </c>
      <c r="FP12" s="19">
        <f>FO12-FN12</f>
        <v>1</v>
      </c>
      <c r="FQ12" s="19"/>
      <c r="FR12" s="19" t="s">
        <v>43</v>
      </c>
      <c r="FT12" s="51">
        <v>425</v>
      </c>
      <c r="FU12" s="19">
        <v>489</v>
      </c>
      <c r="FV12" s="19">
        <v>507</v>
      </c>
      <c r="FW12" s="19">
        <f>FV12-FU12</f>
        <v>18</v>
      </c>
      <c r="FX12" s="19">
        <v>492</v>
      </c>
      <c r="FY12" s="19">
        <v>235</v>
      </c>
      <c r="GA12" s="51">
        <v>425</v>
      </c>
      <c r="GB12" s="19">
        <v>507</v>
      </c>
      <c r="GC12" s="19">
        <v>523</v>
      </c>
      <c r="GD12" s="19">
        <f>GC12-GB12</f>
        <v>16</v>
      </c>
      <c r="GE12" s="19">
        <v>512</v>
      </c>
      <c r="GF12" s="19">
        <v>210</v>
      </c>
    </row>
    <row r="13" spans="1:188" x14ac:dyDescent="0.35">
      <c r="A13" s="52"/>
      <c r="B13" s="19"/>
      <c r="C13" s="19"/>
      <c r="D13" s="19"/>
      <c r="E13" s="19"/>
      <c r="F13" s="19"/>
      <c r="H13" s="52"/>
      <c r="I13" s="19"/>
      <c r="J13" s="19"/>
      <c r="K13" s="19"/>
      <c r="L13" s="19"/>
      <c r="M13" s="19"/>
      <c r="O13" s="52"/>
      <c r="P13" s="19"/>
      <c r="Q13" s="19"/>
      <c r="R13" s="19"/>
      <c r="S13" s="19"/>
      <c r="T13" s="19"/>
      <c r="V13" s="52"/>
      <c r="W13" s="19"/>
      <c r="X13" s="19"/>
      <c r="Y13" s="19"/>
      <c r="Z13" s="19"/>
      <c r="AA13" s="19"/>
      <c r="AC13" s="52"/>
      <c r="AD13" s="19"/>
      <c r="AE13" s="19"/>
      <c r="AF13" s="19"/>
      <c r="AG13" s="19"/>
      <c r="AH13" s="19"/>
      <c r="AJ13" s="52"/>
      <c r="AK13" s="19"/>
      <c r="AL13" s="19"/>
      <c r="AM13" s="19"/>
      <c r="AN13" s="19"/>
      <c r="AO13" s="19"/>
      <c r="AQ13" s="52"/>
      <c r="AR13" s="19"/>
      <c r="AS13" s="19"/>
      <c r="AT13" s="19"/>
      <c r="AU13" s="19"/>
      <c r="AV13" s="19"/>
      <c r="AX13" s="52"/>
      <c r="AY13" s="19"/>
      <c r="AZ13" s="19"/>
      <c r="BA13" s="19"/>
      <c r="BB13" s="19"/>
      <c r="BC13" s="19"/>
      <c r="BE13" s="52"/>
      <c r="BF13" s="19"/>
      <c r="BG13" s="19"/>
      <c r="BH13" s="19"/>
      <c r="BI13" s="19"/>
      <c r="BJ13" s="19"/>
      <c r="BL13" s="52"/>
      <c r="BM13" s="19"/>
      <c r="BN13" s="19"/>
      <c r="BO13" s="19"/>
      <c r="BP13" s="19"/>
      <c r="BQ13" s="19"/>
      <c r="BS13" s="52"/>
      <c r="BT13" s="19"/>
      <c r="BU13" s="19"/>
      <c r="BV13" s="19"/>
      <c r="BW13" s="19">
        <v>313</v>
      </c>
      <c r="BX13" s="19">
        <v>80</v>
      </c>
      <c r="BZ13" s="52"/>
      <c r="CA13" s="19"/>
      <c r="CB13" s="19"/>
      <c r="CC13" s="19"/>
      <c r="CD13" s="19">
        <v>313</v>
      </c>
      <c r="CE13" s="19">
        <v>80</v>
      </c>
      <c r="CG13" s="52"/>
      <c r="CH13" s="19"/>
      <c r="CI13" s="19"/>
      <c r="CJ13" s="19"/>
      <c r="CK13" s="19">
        <v>345</v>
      </c>
      <c r="CL13" s="19">
        <v>301</v>
      </c>
      <c r="CN13" s="52"/>
      <c r="CO13" s="19"/>
      <c r="CP13" s="19"/>
      <c r="CQ13" s="19"/>
      <c r="CR13" s="19">
        <v>362</v>
      </c>
      <c r="CS13" s="19">
        <v>220</v>
      </c>
      <c r="CU13" s="52"/>
      <c r="CV13" s="19"/>
      <c r="CW13" s="19"/>
      <c r="CX13" s="19"/>
      <c r="CY13" s="19">
        <v>392</v>
      </c>
      <c r="CZ13" s="19">
        <v>135</v>
      </c>
      <c r="DB13" s="52"/>
      <c r="DC13" s="19"/>
      <c r="DD13" s="19"/>
      <c r="DE13" s="19"/>
      <c r="DF13" s="19">
        <v>411</v>
      </c>
      <c r="DG13" s="19">
        <v>195</v>
      </c>
      <c r="DI13" s="52"/>
      <c r="DJ13" s="19"/>
      <c r="DK13" s="19"/>
      <c r="DL13" s="19"/>
      <c r="DM13" s="19">
        <v>427</v>
      </c>
      <c r="DN13" s="19">
        <v>178</v>
      </c>
      <c r="DP13" s="52"/>
      <c r="DQ13" s="19"/>
      <c r="DR13" s="19"/>
      <c r="DS13" s="19"/>
      <c r="DT13" s="19"/>
      <c r="DU13" s="19"/>
      <c r="DW13" s="52"/>
      <c r="DX13" s="19"/>
      <c r="DY13" s="19"/>
      <c r="DZ13" s="19"/>
      <c r="EA13" s="19"/>
      <c r="EB13" s="19"/>
      <c r="ED13" s="52"/>
      <c r="EE13" s="19"/>
      <c r="EF13" s="19"/>
      <c r="EG13" s="19"/>
      <c r="EH13" s="19">
        <v>458</v>
      </c>
      <c r="EI13" s="19">
        <v>142</v>
      </c>
      <c r="EK13" s="52"/>
      <c r="EL13" s="19"/>
      <c r="EM13" s="19"/>
      <c r="EN13" s="19"/>
      <c r="EO13" s="19"/>
      <c r="EP13" s="19"/>
      <c r="ER13" s="52"/>
      <c r="ES13" s="19"/>
      <c r="ET13" s="19"/>
      <c r="EU13" s="19"/>
      <c r="EV13" s="19"/>
      <c r="EW13" s="19"/>
      <c r="EY13" s="52"/>
      <c r="EZ13" s="19"/>
      <c r="FA13" s="19"/>
      <c r="FB13" s="19"/>
      <c r="FC13" s="19"/>
      <c r="FD13" s="19"/>
      <c r="FF13" s="52"/>
      <c r="FG13" s="19"/>
      <c r="FH13" s="19"/>
      <c r="FI13" s="19"/>
      <c r="FJ13" s="19"/>
      <c r="FK13" s="19"/>
      <c r="FM13" s="52"/>
      <c r="FN13" s="19"/>
      <c r="FO13" s="19"/>
      <c r="FP13" s="19"/>
      <c r="FQ13" s="19"/>
      <c r="FR13" s="19"/>
      <c r="FT13" s="52"/>
      <c r="FU13" s="19"/>
      <c r="FV13" s="19"/>
      <c r="FW13" s="19"/>
      <c r="FX13" s="19">
        <v>501</v>
      </c>
      <c r="FY13" s="19">
        <v>300</v>
      </c>
      <c r="GA13" s="52"/>
      <c r="GB13" s="19"/>
      <c r="GC13" s="19"/>
      <c r="GD13" s="19"/>
      <c r="GE13" s="19">
        <v>517</v>
      </c>
      <c r="GF13" s="19">
        <v>96</v>
      </c>
    </row>
    <row r="14" spans="1:188" x14ac:dyDescent="0.35">
      <c r="A14" s="51">
        <v>426</v>
      </c>
      <c r="B14" s="24">
        <v>148</v>
      </c>
      <c r="C14" s="19">
        <v>154</v>
      </c>
      <c r="D14" s="19">
        <f>C14-B14</f>
        <v>6</v>
      </c>
      <c r="E14" s="19">
        <v>152</v>
      </c>
      <c r="F14" s="19">
        <v>219</v>
      </c>
      <c r="H14" s="51">
        <v>426</v>
      </c>
      <c r="I14" s="24">
        <v>154</v>
      </c>
      <c r="J14" s="19">
        <v>158</v>
      </c>
      <c r="K14" s="19">
        <f>J14-I14</f>
        <v>4</v>
      </c>
      <c r="L14" s="19"/>
      <c r="M14" s="19"/>
      <c r="O14" s="51">
        <v>426</v>
      </c>
      <c r="P14" s="24">
        <v>168</v>
      </c>
      <c r="Q14" s="19">
        <v>179</v>
      </c>
      <c r="R14" s="19">
        <f>Q14-P14</f>
        <v>11</v>
      </c>
      <c r="S14" s="19">
        <v>172</v>
      </c>
      <c r="T14" s="19">
        <v>250</v>
      </c>
      <c r="V14" s="51">
        <v>426</v>
      </c>
      <c r="W14" s="24">
        <v>189</v>
      </c>
      <c r="X14" s="19">
        <v>199</v>
      </c>
      <c r="Y14" s="19">
        <f>X14-W14</f>
        <v>10</v>
      </c>
      <c r="Z14" s="19">
        <v>193</v>
      </c>
      <c r="AA14" s="19">
        <v>270</v>
      </c>
      <c r="AC14" s="51">
        <v>426</v>
      </c>
      <c r="AD14" s="24">
        <v>209</v>
      </c>
      <c r="AE14" s="19">
        <v>229</v>
      </c>
      <c r="AF14" s="19">
        <f>AE14-AD14</f>
        <v>20</v>
      </c>
      <c r="AG14" s="19">
        <v>213</v>
      </c>
      <c r="AH14" s="19">
        <v>357</v>
      </c>
      <c r="AJ14" s="51">
        <v>426</v>
      </c>
      <c r="AK14" s="24"/>
      <c r="AL14" s="19"/>
      <c r="AM14" s="19"/>
      <c r="AN14" s="19"/>
      <c r="AO14" s="19"/>
      <c r="AQ14" s="51">
        <v>426</v>
      </c>
      <c r="AR14" s="24">
        <v>249</v>
      </c>
      <c r="AS14" s="19">
        <v>269</v>
      </c>
      <c r="AT14" s="19">
        <f>AS14-AR14</f>
        <v>20</v>
      </c>
      <c r="AU14" s="19">
        <v>254</v>
      </c>
      <c r="AV14" s="19">
        <v>231</v>
      </c>
      <c r="AX14" s="51">
        <v>426</v>
      </c>
      <c r="AY14" s="24">
        <v>269</v>
      </c>
      <c r="AZ14" s="19">
        <v>279</v>
      </c>
      <c r="BA14" s="19">
        <f>AZ14-AY14</f>
        <v>10</v>
      </c>
      <c r="BB14" s="19">
        <v>273</v>
      </c>
      <c r="BC14" s="19">
        <v>310</v>
      </c>
      <c r="BE14" s="51">
        <v>426</v>
      </c>
      <c r="BF14" s="24">
        <v>287</v>
      </c>
      <c r="BG14" s="19">
        <v>296</v>
      </c>
      <c r="BH14" s="19">
        <f>BG14-BF14</f>
        <v>9</v>
      </c>
      <c r="BI14" s="19">
        <v>290</v>
      </c>
      <c r="BJ14" s="19">
        <v>169</v>
      </c>
      <c r="BL14" s="51">
        <v>426</v>
      </c>
      <c r="BM14" s="24">
        <v>306</v>
      </c>
      <c r="BN14" s="19">
        <v>317</v>
      </c>
      <c r="BO14" s="19">
        <f>BN14-BM14</f>
        <v>11</v>
      </c>
      <c r="BP14" s="19">
        <v>311</v>
      </c>
      <c r="BQ14" s="19">
        <v>310</v>
      </c>
      <c r="BS14" s="51">
        <v>426</v>
      </c>
      <c r="BT14" s="24">
        <v>326</v>
      </c>
      <c r="BU14" s="19">
        <v>327</v>
      </c>
      <c r="BV14" s="19">
        <f>BU14-BT14</f>
        <v>1</v>
      </c>
      <c r="BW14" s="19"/>
      <c r="BX14" s="19"/>
      <c r="BZ14" s="51">
        <v>426</v>
      </c>
      <c r="CA14" s="19">
        <v>327</v>
      </c>
      <c r="CB14" s="19">
        <v>346</v>
      </c>
      <c r="CC14" s="19">
        <f>CB14-CA14</f>
        <v>19</v>
      </c>
      <c r="CD14" s="19">
        <v>330</v>
      </c>
      <c r="CE14" s="19">
        <v>300</v>
      </c>
      <c r="CG14" s="51">
        <v>426</v>
      </c>
      <c r="CH14" s="19">
        <v>346</v>
      </c>
      <c r="CI14" s="19">
        <v>366</v>
      </c>
      <c r="CJ14" s="19">
        <f>CI14-CH14</f>
        <v>20</v>
      </c>
      <c r="CK14" s="19">
        <v>350</v>
      </c>
      <c r="CL14" s="19">
        <v>337</v>
      </c>
      <c r="CN14" s="51">
        <v>426</v>
      </c>
      <c r="CO14" s="19">
        <v>366</v>
      </c>
      <c r="CP14" s="19">
        <v>382</v>
      </c>
      <c r="CQ14" s="19">
        <f>CP14-CO14</f>
        <v>16</v>
      </c>
      <c r="CR14" s="19">
        <v>369</v>
      </c>
      <c r="CS14" s="19">
        <v>185</v>
      </c>
      <c r="CU14" s="51">
        <v>426</v>
      </c>
      <c r="CV14" s="19">
        <v>401</v>
      </c>
      <c r="CW14" s="19">
        <v>421</v>
      </c>
      <c r="CX14" s="19">
        <f>CW14-CV14</f>
        <v>20</v>
      </c>
      <c r="CY14" s="19">
        <v>406</v>
      </c>
      <c r="CZ14" s="19">
        <v>250</v>
      </c>
      <c r="DB14" s="51">
        <v>426</v>
      </c>
      <c r="DC14" s="19">
        <v>421</v>
      </c>
      <c r="DD14" s="19">
        <v>439</v>
      </c>
      <c r="DE14" s="19">
        <f>DD14-DC14</f>
        <v>18</v>
      </c>
      <c r="DF14" s="19">
        <v>425</v>
      </c>
      <c r="DG14" s="19">
        <v>270</v>
      </c>
      <c r="DI14" s="51">
        <v>426</v>
      </c>
      <c r="DJ14" s="19">
        <v>439</v>
      </c>
      <c r="DK14" s="19">
        <v>455</v>
      </c>
      <c r="DL14" s="19">
        <f>DK14-DJ14</f>
        <v>16</v>
      </c>
      <c r="DM14" s="19">
        <v>441</v>
      </c>
      <c r="DN14" s="19">
        <v>200</v>
      </c>
      <c r="DP14" s="51">
        <v>426</v>
      </c>
      <c r="DQ14" s="24">
        <v>455</v>
      </c>
      <c r="DR14" s="19">
        <v>467</v>
      </c>
      <c r="DS14" s="19">
        <f>DR14-DQ14</f>
        <v>12</v>
      </c>
      <c r="DT14" s="19">
        <v>459</v>
      </c>
      <c r="DU14" s="19">
        <v>213</v>
      </c>
      <c r="DW14" s="51">
        <v>426</v>
      </c>
      <c r="DX14" s="24">
        <v>467</v>
      </c>
      <c r="DY14" s="19">
        <v>480</v>
      </c>
      <c r="DZ14" s="19">
        <f>DY14-DX14</f>
        <v>13</v>
      </c>
      <c r="EA14" s="19">
        <v>470</v>
      </c>
      <c r="EB14" s="19">
        <v>200</v>
      </c>
      <c r="ED14" s="51">
        <v>426</v>
      </c>
      <c r="EE14" s="24">
        <v>480</v>
      </c>
      <c r="EF14" s="19">
        <v>491</v>
      </c>
      <c r="EG14" s="19">
        <f>EF14-EE14</f>
        <v>11</v>
      </c>
      <c r="EH14" s="19">
        <v>484</v>
      </c>
      <c r="EI14" s="19">
        <v>210</v>
      </c>
      <c r="EK14" s="51">
        <v>426</v>
      </c>
      <c r="EL14" s="24"/>
      <c r="EM14" s="19"/>
      <c r="EN14" s="19"/>
      <c r="EO14" s="19"/>
      <c r="EP14" s="19"/>
      <c r="ER14" s="51">
        <v>426</v>
      </c>
      <c r="ES14" s="24"/>
      <c r="ET14" s="19"/>
      <c r="EU14" s="19"/>
      <c r="EV14" s="19"/>
      <c r="EW14" s="19"/>
      <c r="EY14" s="51">
        <v>426</v>
      </c>
      <c r="EZ14" s="24">
        <v>506</v>
      </c>
      <c r="FA14" s="19">
        <v>521</v>
      </c>
      <c r="FB14" s="19">
        <f>FA14-EZ14</f>
        <v>15</v>
      </c>
      <c r="FC14" s="19">
        <v>508</v>
      </c>
      <c r="FD14" s="19">
        <v>179</v>
      </c>
      <c r="FF14" s="51">
        <v>426</v>
      </c>
      <c r="FG14" s="24"/>
      <c r="FH14" s="19"/>
      <c r="FI14" s="19"/>
      <c r="FJ14" s="19"/>
      <c r="FK14" s="19"/>
      <c r="FM14" s="51">
        <v>426</v>
      </c>
      <c r="FN14" s="24">
        <v>531</v>
      </c>
      <c r="FO14" s="19">
        <v>547</v>
      </c>
      <c r="FP14" s="19">
        <f>FO14-FN14</f>
        <v>16</v>
      </c>
      <c r="FQ14" s="19">
        <v>532</v>
      </c>
      <c r="FR14" s="19">
        <v>200</v>
      </c>
      <c r="FT14" s="51">
        <v>426</v>
      </c>
      <c r="FU14" s="24">
        <v>547</v>
      </c>
      <c r="FV14" s="19">
        <v>567</v>
      </c>
      <c r="FW14" s="19">
        <f>FV14-FU14</f>
        <v>20</v>
      </c>
      <c r="FX14" s="19">
        <v>551</v>
      </c>
      <c r="FY14" s="19">
        <v>190</v>
      </c>
      <c r="GA14" s="51">
        <v>426</v>
      </c>
      <c r="GB14" s="24">
        <v>567</v>
      </c>
      <c r="GC14" s="19">
        <v>577</v>
      </c>
      <c r="GD14" s="19">
        <f>GC14-GB14</f>
        <v>10</v>
      </c>
      <c r="GE14" s="19">
        <v>571</v>
      </c>
      <c r="GF14" s="19">
        <v>248</v>
      </c>
    </row>
    <row r="15" spans="1:188" x14ac:dyDescent="0.35">
      <c r="A15" s="52"/>
      <c r="B15" s="19"/>
      <c r="C15" s="19"/>
      <c r="D15" s="19"/>
      <c r="E15" s="19"/>
      <c r="F15" s="19"/>
      <c r="H15" s="52"/>
      <c r="I15" s="19"/>
      <c r="J15" s="19"/>
      <c r="K15" s="19"/>
      <c r="L15" s="19"/>
      <c r="M15" s="19"/>
      <c r="O15" s="52"/>
      <c r="P15" s="19"/>
      <c r="Q15" s="19"/>
      <c r="R15" s="19"/>
      <c r="S15" s="19"/>
      <c r="T15" s="19"/>
      <c r="V15" s="52"/>
      <c r="W15" s="19"/>
      <c r="X15" s="19"/>
      <c r="Y15" s="19"/>
      <c r="Z15" s="19"/>
      <c r="AA15" s="19"/>
      <c r="AC15" s="52"/>
      <c r="AD15" s="19"/>
      <c r="AE15" s="19"/>
      <c r="AF15" s="19"/>
      <c r="AG15" s="19">
        <v>223</v>
      </c>
      <c r="AH15" s="19">
        <v>294</v>
      </c>
      <c r="AJ15" s="52"/>
      <c r="AK15" s="19"/>
      <c r="AL15" s="19"/>
      <c r="AM15" s="19"/>
      <c r="AN15" s="19"/>
      <c r="AO15" s="19"/>
      <c r="AQ15" s="52"/>
      <c r="AR15" s="19"/>
      <c r="AS15" s="19"/>
      <c r="AT15" s="19"/>
      <c r="AU15" s="19">
        <v>262</v>
      </c>
      <c r="AV15" s="19">
        <v>200</v>
      </c>
      <c r="AX15" s="52"/>
      <c r="AY15" s="19"/>
      <c r="AZ15" s="19"/>
      <c r="BA15" s="19"/>
      <c r="BB15" s="19"/>
      <c r="BC15" s="19"/>
      <c r="BE15" s="52"/>
      <c r="BF15" s="19"/>
      <c r="BG15" s="19"/>
      <c r="BH15" s="19"/>
      <c r="BI15" s="19"/>
      <c r="BJ15" s="19"/>
      <c r="BL15" s="52"/>
      <c r="BM15" s="19"/>
      <c r="BN15" s="19"/>
      <c r="BO15" s="19"/>
      <c r="BP15" s="19"/>
      <c r="BQ15" s="19"/>
      <c r="BS15" s="52"/>
      <c r="BT15" s="19"/>
      <c r="BU15" s="19"/>
      <c r="BV15" s="19"/>
      <c r="BW15" s="19"/>
      <c r="BX15" s="19"/>
      <c r="BZ15" s="52"/>
      <c r="CA15" s="19"/>
      <c r="CB15" s="19"/>
      <c r="CC15" s="19"/>
      <c r="CD15" s="19">
        <v>339</v>
      </c>
      <c r="CE15" s="19">
        <v>210</v>
      </c>
      <c r="CG15" s="52"/>
      <c r="CH15" s="19"/>
      <c r="CI15" s="19"/>
      <c r="CJ15" s="19"/>
      <c r="CK15" s="19">
        <v>359</v>
      </c>
      <c r="CL15" s="19">
        <v>248</v>
      </c>
      <c r="CN15" s="52"/>
      <c r="CO15" s="19"/>
      <c r="CP15" s="19"/>
      <c r="CQ15" s="19"/>
      <c r="CR15" s="19">
        <v>376</v>
      </c>
      <c r="CS15" s="19">
        <v>230</v>
      </c>
      <c r="CU15" s="52"/>
      <c r="CV15" s="19"/>
      <c r="CW15" s="19"/>
      <c r="CX15" s="19"/>
      <c r="CY15" s="19">
        <v>415</v>
      </c>
      <c r="CZ15" s="19">
        <v>280</v>
      </c>
      <c r="DB15" s="52"/>
      <c r="DC15" s="19"/>
      <c r="DD15" s="19"/>
      <c r="DE15" s="19"/>
      <c r="DF15" s="19">
        <v>434</v>
      </c>
      <c r="DG15" s="19">
        <v>250</v>
      </c>
      <c r="DI15" s="52"/>
      <c r="DJ15" s="19"/>
      <c r="DK15" s="19"/>
      <c r="DL15" s="19"/>
      <c r="DM15" s="19">
        <v>450</v>
      </c>
      <c r="DN15" s="19">
        <v>240</v>
      </c>
      <c r="DP15" s="52"/>
      <c r="DQ15" s="19"/>
      <c r="DR15" s="19"/>
      <c r="DS15" s="19"/>
      <c r="DT15" s="19"/>
      <c r="DU15" s="19"/>
      <c r="DW15" s="52"/>
      <c r="DX15" s="19"/>
      <c r="DY15" s="19"/>
      <c r="DZ15" s="19"/>
      <c r="EA15" s="19">
        <v>475</v>
      </c>
      <c r="EB15" s="19">
        <v>160</v>
      </c>
      <c r="ED15" s="52"/>
      <c r="EE15" s="19"/>
      <c r="EF15" s="19"/>
      <c r="EG15" s="19"/>
      <c r="EH15" s="19">
        <v>492</v>
      </c>
      <c r="EI15" s="19">
        <v>165</v>
      </c>
      <c r="EK15" s="52"/>
      <c r="EL15" s="19"/>
      <c r="EM15" s="19"/>
      <c r="EN15" s="19"/>
      <c r="EO15" s="19"/>
      <c r="EP15" s="19"/>
      <c r="ER15" s="52"/>
      <c r="ES15" s="19"/>
      <c r="ET15" s="19"/>
      <c r="EU15" s="19"/>
      <c r="EV15" s="19"/>
      <c r="EW15" s="19"/>
      <c r="EY15" s="52"/>
      <c r="EZ15" s="19"/>
      <c r="FA15" s="19"/>
      <c r="FB15" s="19"/>
      <c r="FC15" s="19">
        <v>516</v>
      </c>
      <c r="FD15" s="19">
        <v>199</v>
      </c>
      <c r="FF15" s="52"/>
      <c r="FG15" s="19"/>
      <c r="FH15" s="19"/>
      <c r="FI15" s="19"/>
      <c r="FJ15" s="19"/>
      <c r="FK15" s="19"/>
      <c r="FM15" s="52"/>
      <c r="FN15" s="19"/>
      <c r="FO15" s="19"/>
      <c r="FP15" s="19"/>
      <c r="FQ15" s="19">
        <v>541</v>
      </c>
      <c r="FR15" s="19">
        <v>230</v>
      </c>
      <c r="FT15" s="52"/>
      <c r="FU15" s="19"/>
      <c r="FV15" s="19"/>
      <c r="FW15" s="19"/>
      <c r="FX15" s="19">
        <v>561</v>
      </c>
      <c r="FY15" s="19">
        <v>250</v>
      </c>
      <c r="GA15" s="52"/>
      <c r="GB15" s="19"/>
      <c r="GC15" s="19"/>
      <c r="GD15" s="19"/>
      <c r="GE15" s="19"/>
      <c r="GF15" s="19"/>
    </row>
    <row r="16" spans="1:188" x14ac:dyDescent="0.35">
      <c r="A16" s="51">
        <v>427</v>
      </c>
      <c r="B16" s="19">
        <v>155</v>
      </c>
      <c r="C16" s="19">
        <v>161</v>
      </c>
      <c r="D16" s="19">
        <f>C16-B16</f>
        <v>6</v>
      </c>
      <c r="E16" s="19">
        <v>159</v>
      </c>
      <c r="F16" s="19">
        <v>323</v>
      </c>
      <c r="H16" s="51">
        <v>427</v>
      </c>
      <c r="I16" s="19">
        <v>161</v>
      </c>
      <c r="J16" s="19">
        <v>165</v>
      </c>
      <c r="K16" s="19">
        <f>J16-I16</f>
        <v>4</v>
      </c>
      <c r="L16" s="19"/>
      <c r="M16" s="19"/>
      <c r="O16" s="51">
        <v>427</v>
      </c>
      <c r="P16" s="19"/>
      <c r="Q16" s="19"/>
      <c r="R16" s="19"/>
      <c r="S16" s="19"/>
      <c r="T16" s="19"/>
      <c r="V16" s="51">
        <v>427</v>
      </c>
      <c r="W16" s="19">
        <v>180</v>
      </c>
      <c r="X16" s="19">
        <v>190</v>
      </c>
      <c r="Y16" s="19">
        <f>X16-W16</f>
        <v>10</v>
      </c>
      <c r="Z16" s="19">
        <v>184</v>
      </c>
      <c r="AA16" s="19">
        <v>479</v>
      </c>
      <c r="AC16" s="51">
        <v>427</v>
      </c>
      <c r="AD16" s="19">
        <v>201</v>
      </c>
      <c r="AE16" s="19">
        <v>211</v>
      </c>
      <c r="AF16" s="19">
        <f>AE16-AD16</f>
        <v>10</v>
      </c>
      <c r="AG16" s="19">
        <v>206</v>
      </c>
      <c r="AH16" s="19">
        <v>235</v>
      </c>
      <c r="AJ16" s="51">
        <v>427</v>
      </c>
      <c r="AK16" s="19">
        <v>221</v>
      </c>
      <c r="AL16" s="19">
        <v>232</v>
      </c>
      <c r="AM16" s="19">
        <f>AL16-AK16</f>
        <v>11</v>
      </c>
      <c r="AN16" s="19">
        <v>226</v>
      </c>
      <c r="AO16" s="19">
        <v>238</v>
      </c>
      <c r="AQ16" s="51">
        <v>427</v>
      </c>
      <c r="AR16" s="19">
        <v>242</v>
      </c>
      <c r="AS16" s="19">
        <v>252</v>
      </c>
      <c r="AT16" s="19">
        <f>AS16-AR16</f>
        <v>10</v>
      </c>
      <c r="AU16" s="19">
        <v>246</v>
      </c>
      <c r="AV16" s="19">
        <v>223</v>
      </c>
      <c r="AX16" s="51">
        <v>427</v>
      </c>
      <c r="AY16" s="19">
        <v>262</v>
      </c>
      <c r="AZ16" s="19">
        <v>272</v>
      </c>
      <c r="BA16" s="19">
        <f>AZ16-AY16</f>
        <v>10</v>
      </c>
      <c r="BB16" s="19">
        <v>267</v>
      </c>
      <c r="BC16" s="19">
        <v>235</v>
      </c>
      <c r="BE16" s="51">
        <v>427</v>
      </c>
      <c r="BF16" s="19">
        <v>280</v>
      </c>
      <c r="BG16" s="19">
        <v>290</v>
      </c>
      <c r="BH16" s="19">
        <f>BG16-BF16</f>
        <v>10</v>
      </c>
      <c r="BI16" s="19">
        <v>285</v>
      </c>
      <c r="BJ16" s="19">
        <v>188</v>
      </c>
      <c r="BL16" s="51">
        <v>427</v>
      </c>
      <c r="BM16" s="19">
        <v>301</v>
      </c>
      <c r="BN16" s="19">
        <v>311</v>
      </c>
      <c r="BO16" s="19">
        <f>BN16-BM16</f>
        <v>10</v>
      </c>
      <c r="BP16" s="19">
        <v>305</v>
      </c>
      <c r="BQ16" s="19">
        <v>290</v>
      </c>
      <c r="BS16" s="51">
        <v>427</v>
      </c>
      <c r="BT16" s="19"/>
      <c r="BU16" s="19"/>
      <c r="BV16" s="19"/>
      <c r="BW16" s="19"/>
      <c r="BX16" s="19"/>
      <c r="BZ16" s="51">
        <v>427</v>
      </c>
      <c r="CA16" s="19">
        <v>326</v>
      </c>
      <c r="CB16" s="19">
        <v>345</v>
      </c>
      <c r="CC16" s="19">
        <f>CB16-CA16</f>
        <v>19</v>
      </c>
      <c r="CD16" s="19">
        <v>328</v>
      </c>
      <c r="CE16" s="19">
        <v>60</v>
      </c>
      <c r="CG16" s="51">
        <v>427</v>
      </c>
      <c r="CH16" s="19">
        <v>345</v>
      </c>
      <c r="CI16" s="19">
        <v>365</v>
      </c>
      <c r="CJ16" s="19">
        <f>CI16-CH16</f>
        <v>20</v>
      </c>
      <c r="CK16" s="19">
        <v>349</v>
      </c>
      <c r="CL16" s="19">
        <v>253</v>
      </c>
      <c r="CN16" s="51">
        <v>427</v>
      </c>
      <c r="CO16" s="19">
        <v>365</v>
      </c>
      <c r="CP16" s="19">
        <v>380</v>
      </c>
      <c r="CQ16" s="19">
        <f>CP16-CO16</f>
        <v>15</v>
      </c>
      <c r="CR16" s="19">
        <v>367</v>
      </c>
      <c r="CS16" s="19">
        <v>314</v>
      </c>
      <c r="CU16" s="51">
        <v>427</v>
      </c>
      <c r="CV16" s="19">
        <v>400</v>
      </c>
      <c r="CW16" s="19">
        <v>420</v>
      </c>
      <c r="CX16" s="19">
        <f>CW16-CV16</f>
        <v>20</v>
      </c>
      <c r="CY16" s="19">
        <v>405</v>
      </c>
      <c r="CZ16" s="19">
        <v>300</v>
      </c>
      <c r="DB16" s="51">
        <v>427</v>
      </c>
      <c r="DC16" s="19">
        <v>420</v>
      </c>
      <c r="DD16" s="19">
        <v>439</v>
      </c>
      <c r="DE16" s="19">
        <f>DD16-DC16</f>
        <v>19</v>
      </c>
      <c r="DF16" s="19">
        <v>424</v>
      </c>
      <c r="DG16" s="19">
        <v>295</v>
      </c>
      <c r="DI16" s="51">
        <v>427</v>
      </c>
      <c r="DJ16" s="19">
        <v>439</v>
      </c>
      <c r="DK16" s="19">
        <v>455</v>
      </c>
      <c r="DL16" s="19">
        <f>DK16-DJ16</f>
        <v>16</v>
      </c>
      <c r="DM16" s="19">
        <v>440</v>
      </c>
      <c r="DN16" s="19">
        <v>210</v>
      </c>
      <c r="DP16" s="51">
        <v>427</v>
      </c>
      <c r="DQ16" s="19">
        <v>455</v>
      </c>
      <c r="DR16" s="19">
        <v>465</v>
      </c>
      <c r="DS16" s="19">
        <f>DR16-DQ16</f>
        <v>10</v>
      </c>
      <c r="DT16" s="19">
        <v>458</v>
      </c>
      <c r="DU16" s="19">
        <v>262</v>
      </c>
      <c r="DW16" s="51">
        <v>427</v>
      </c>
      <c r="DX16" s="19">
        <v>465</v>
      </c>
      <c r="DY16" s="19">
        <v>472</v>
      </c>
      <c r="DZ16" s="19">
        <f>DY16-DX16</f>
        <v>7</v>
      </c>
      <c r="EA16" s="19">
        <v>469</v>
      </c>
      <c r="EB16" s="19">
        <v>250</v>
      </c>
      <c r="ED16" s="51">
        <v>427</v>
      </c>
      <c r="EE16" s="19">
        <v>472</v>
      </c>
      <c r="EF16" s="19">
        <v>491</v>
      </c>
      <c r="EG16" s="19">
        <f>EF16-EE16</f>
        <v>19</v>
      </c>
      <c r="EH16" s="19">
        <v>477</v>
      </c>
      <c r="EI16" s="19">
        <v>109</v>
      </c>
      <c r="EK16" s="51">
        <v>427</v>
      </c>
      <c r="EL16" s="19"/>
      <c r="EM16" s="19"/>
      <c r="EN16" s="19"/>
      <c r="EO16" s="19"/>
      <c r="EP16" s="19"/>
      <c r="ER16" s="51">
        <v>427</v>
      </c>
      <c r="ES16" s="19"/>
      <c r="ET16" s="19"/>
      <c r="EU16" s="19"/>
      <c r="EV16" s="19"/>
      <c r="EW16" s="19"/>
      <c r="EY16" s="51">
        <v>427</v>
      </c>
      <c r="EZ16" s="19">
        <v>502</v>
      </c>
      <c r="FA16" s="19">
        <v>518</v>
      </c>
      <c r="FB16" s="19">
        <f>FA16-EZ16</f>
        <v>16</v>
      </c>
      <c r="FC16" s="19">
        <v>503</v>
      </c>
      <c r="FD16" s="19">
        <v>87</v>
      </c>
      <c r="FF16" s="51">
        <v>427</v>
      </c>
      <c r="FG16" s="19"/>
      <c r="FH16" s="19"/>
      <c r="FI16" s="19"/>
      <c r="FJ16" s="19"/>
      <c r="FK16" s="19"/>
      <c r="FM16" s="51">
        <v>427</v>
      </c>
      <c r="FN16" s="19">
        <v>519</v>
      </c>
      <c r="FO16" s="19">
        <v>534</v>
      </c>
      <c r="FP16" s="19">
        <f>FO16-FN16</f>
        <v>15</v>
      </c>
      <c r="FQ16" s="19">
        <v>522</v>
      </c>
      <c r="FR16" s="19">
        <v>250</v>
      </c>
      <c r="FT16" s="51">
        <v>427</v>
      </c>
      <c r="FU16" s="19">
        <v>534</v>
      </c>
      <c r="FV16" s="19">
        <v>552</v>
      </c>
      <c r="FW16" s="19">
        <f>FV16-FU16</f>
        <v>18</v>
      </c>
      <c r="FX16" s="19">
        <v>538</v>
      </c>
      <c r="FY16" s="19">
        <v>280</v>
      </c>
      <c r="GA16" s="51">
        <v>427</v>
      </c>
      <c r="GB16" s="19">
        <v>552</v>
      </c>
      <c r="GC16" s="19">
        <v>571</v>
      </c>
      <c r="GD16" s="19">
        <f>GC16-GB16</f>
        <v>19</v>
      </c>
      <c r="GE16" s="19">
        <v>566</v>
      </c>
      <c r="GF16" s="19">
        <v>222</v>
      </c>
    </row>
    <row r="17" spans="1:188" x14ac:dyDescent="0.35">
      <c r="A17" s="52"/>
      <c r="B17" s="19"/>
      <c r="C17" s="19"/>
      <c r="D17" s="19"/>
      <c r="E17" s="19"/>
      <c r="F17" s="19"/>
      <c r="H17" s="52"/>
      <c r="I17" s="19"/>
      <c r="J17" s="19"/>
      <c r="K17" s="19"/>
      <c r="L17" s="19"/>
      <c r="M17" s="19"/>
      <c r="O17" s="52"/>
      <c r="P17" s="19"/>
      <c r="Q17" s="19"/>
      <c r="R17" s="19"/>
      <c r="S17" s="19"/>
      <c r="T17" s="19"/>
      <c r="V17" s="52"/>
      <c r="W17" s="19"/>
      <c r="X17" s="19"/>
      <c r="Y17" s="19"/>
      <c r="Z17" s="19"/>
      <c r="AA17" s="19"/>
      <c r="AC17" s="52"/>
      <c r="AD17" s="19"/>
      <c r="AE17" s="19"/>
      <c r="AF17" s="19"/>
      <c r="AG17" s="19"/>
      <c r="AH17" s="19"/>
      <c r="AJ17" s="52"/>
      <c r="AK17" s="19"/>
      <c r="AL17" s="19"/>
      <c r="AM17" s="19"/>
      <c r="AN17" s="19"/>
      <c r="AO17" s="19"/>
      <c r="AQ17" s="52"/>
      <c r="AR17" s="19"/>
      <c r="AS17" s="19"/>
      <c r="AT17" s="19"/>
      <c r="AU17" s="19"/>
      <c r="AV17" s="19"/>
      <c r="AX17" s="52"/>
      <c r="AY17" s="19"/>
      <c r="AZ17" s="19"/>
      <c r="BA17" s="19"/>
      <c r="BB17" s="19"/>
      <c r="BC17" s="19"/>
      <c r="BE17" s="52"/>
      <c r="BF17" s="19"/>
      <c r="BG17" s="19"/>
      <c r="BH17" s="19"/>
      <c r="BI17" s="19"/>
      <c r="BJ17" s="19"/>
      <c r="BL17" s="52"/>
      <c r="BM17" s="19"/>
      <c r="BN17" s="19"/>
      <c r="BO17" s="19"/>
      <c r="BP17" s="19"/>
      <c r="BQ17" s="19"/>
      <c r="BS17" s="52"/>
      <c r="BT17" s="19"/>
      <c r="BU17" s="19"/>
      <c r="BV17" s="19"/>
      <c r="BW17" s="19"/>
      <c r="BX17" s="19"/>
      <c r="BZ17" s="52"/>
      <c r="CA17" s="19"/>
      <c r="CB17" s="19"/>
      <c r="CC17" s="19"/>
      <c r="CD17" s="19">
        <v>338</v>
      </c>
      <c r="CE17" s="19">
        <v>150</v>
      </c>
      <c r="CG17" s="52"/>
      <c r="CH17" s="19"/>
      <c r="CI17" s="19"/>
      <c r="CJ17" s="19"/>
      <c r="CK17" s="19">
        <v>360</v>
      </c>
      <c r="CL17" s="19">
        <v>142</v>
      </c>
      <c r="CN17" s="52"/>
      <c r="CO17" s="19"/>
      <c r="CP17" s="19"/>
      <c r="CQ17" s="19"/>
      <c r="CR17" s="19">
        <v>375</v>
      </c>
      <c r="CS17" s="19">
        <v>226</v>
      </c>
      <c r="CU17" s="52"/>
      <c r="CV17" s="19"/>
      <c r="CW17" s="19"/>
      <c r="CX17" s="19"/>
      <c r="CY17" s="19">
        <v>414</v>
      </c>
      <c r="CZ17" s="19">
        <v>250</v>
      </c>
      <c r="DB17" s="52"/>
      <c r="DC17" s="19"/>
      <c r="DD17" s="19"/>
      <c r="DE17" s="19"/>
      <c r="DF17" s="19">
        <v>434</v>
      </c>
      <c r="DG17" s="19">
        <v>265</v>
      </c>
      <c r="DI17" s="52"/>
      <c r="DJ17" s="19"/>
      <c r="DK17" s="19"/>
      <c r="DL17" s="19"/>
      <c r="DM17" s="19">
        <v>449</v>
      </c>
      <c r="DN17" s="19">
        <v>201</v>
      </c>
      <c r="DP17" s="52"/>
      <c r="DQ17" s="19"/>
      <c r="DR17" s="19"/>
      <c r="DS17" s="19"/>
      <c r="DT17" s="19"/>
      <c r="DU17" s="19"/>
      <c r="DW17" s="52"/>
      <c r="DX17" s="19"/>
      <c r="DY17" s="19"/>
      <c r="DZ17" s="19"/>
      <c r="EA17" s="19">
        <v>474</v>
      </c>
      <c r="EB17" s="19">
        <v>183</v>
      </c>
      <c r="ED17" s="52"/>
      <c r="EE17" s="19"/>
      <c r="EF17" s="19"/>
      <c r="EG17" s="19"/>
      <c r="EH17" s="19">
        <v>486</v>
      </c>
      <c r="EI17" s="19">
        <v>172</v>
      </c>
      <c r="EK17" s="52"/>
      <c r="EL17" s="19"/>
      <c r="EM17" s="19"/>
      <c r="EN17" s="19"/>
      <c r="EO17" s="19"/>
      <c r="EP17" s="19"/>
      <c r="ER17" s="52"/>
      <c r="ES17" s="19"/>
      <c r="ET17" s="19"/>
      <c r="EU17" s="19"/>
      <c r="EV17" s="19"/>
      <c r="EW17" s="19"/>
      <c r="EY17" s="52"/>
      <c r="EZ17" s="19"/>
      <c r="FA17" s="19"/>
      <c r="FB17" s="19"/>
      <c r="FC17" s="19">
        <v>512</v>
      </c>
      <c r="FD17" s="19">
        <v>188</v>
      </c>
      <c r="FF17" s="52"/>
      <c r="FG17" s="19"/>
      <c r="FH17" s="19"/>
      <c r="FI17" s="19"/>
      <c r="FJ17" s="19"/>
      <c r="FK17" s="19"/>
      <c r="FM17" s="52"/>
      <c r="FN17" s="19"/>
      <c r="FO17" s="19"/>
      <c r="FP17" s="19"/>
      <c r="FQ17" s="19">
        <v>528</v>
      </c>
      <c r="FR17" s="19">
        <v>150</v>
      </c>
      <c r="FT17" s="52"/>
      <c r="FU17" s="19"/>
      <c r="FV17" s="19"/>
      <c r="FW17" s="19"/>
      <c r="FX17" s="19">
        <v>549</v>
      </c>
      <c r="FY17" s="19">
        <v>220</v>
      </c>
      <c r="GA17" s="52"/>
      <c r="GB17" s="19"/>
      <c r="GC17" s="19"/>
      <c r="GD17" s="19"/>
      <c r="GE17" s="19"/>
      <c r="GF17" s="19"/>
    </row>
    <row r="18" spans="1:188" x14ac:dyDescent="0.35">
      <c r="A18" s="51">
        <v>429</v>
      </c>
      <c r="B18" s="19"/>
      <c r="C18" s="19"/>
      <c r="D18" s="19"/>
      <c r="E18" s="19"/>
      <c r="F18" s="19"/>
      <c r="H18" s="51">
        <v>429</v>
      </c>
      <c r="I18" s="19"/>
      <c r="J18" s="19"/>
      <c r="K18" s="19"/>
      <c r="L18" s="19"/>
      <c r="M18" s="19"/>
      <c r="O18" s="51">
        <v>429</v>
      </c>
      <c r="P18" s="19">
        <v>167</v>
      </c>
      <c r="Q18" s="19">
        <v>187</v>
      </c>
      <c r="R18" s="19">
        <f>Q18-P18</f>
        <v>20</v>
      </c>
      <c r="S18" s="19">
        <v>171</v>
      </c>
      <c r="T18" s="19">
        <v>189</v>
      </c>
      <c r="V18" s="51">
        <v>429</v>
      </c>
      <c r="W18" s="19">
        <v>187</v>
      </c>
      <c r="X18" s="19">
        <v>197</v>
      </c>
      <c r="Y18" s="19">
        <f>X18-W18</f>
        <v>10</v>
      </c>
      <c r="Z18" s="19">
        <v>192</v>
      </c>
      <c r="AA18" s="19">
        <v>346</v>
      </c>
      <c r="AC18" s="51">
        <v>429</v>
      </c>
      <c r="AD18" s="19">
        <v>207</v>
      </c>
      <c r="AE18" s="19">
        <v>218</v>
      </c>
      <c r="AF18" s="19">
        <f>AE18-AD18</f>
        <v>11</v>
      </c>
      <c r="AG18" s="19">
        <v>212</v>
      </c>
      <c r="AH18" s="19">
        <v>265</v>
      </c>
      <c r="AJ18" s="51">
        <v>429</v>
      </c>
      <c r="AK18" s="19">
        <v>225</v>
      </c>
      <c r="AL18" s="19">
        <v>236</v>
      </c>
      <c r="AM18" s="19">
        <f>AL18-AK18</f>
        <v>11</v>
      </c>
      <c r="AN18" s="19">
        <v>229</v>
      </c>
      <c r="AO18" s="19">
        <v>200</v>
      </c>
      <c r="AQ18" s="51">
        <v>429</v>
      </c>
      <c r="AR18" s="19">
        <v>246</v>
      </c>
      <c r="AS18" s="19">
        <v>256</v>
      </c>
      <c r="AT18" s="19">
        <f>AS18-AR18</f>
        <v>10</v>
      </c>
      <c r="AU18" s="19">
        <v>250</v>
      </c>
      <c r="AV18" s="19">
        <v>208</v>
      </c>
      <c r="AX18" s="51">
        <v>429</v>
      </c>
      <c r="AY18" s="19">
        <v>266</v>
      </c>
      <c r="AZ18" s="19">
        <v>275</v>
      </c>
      <c r="BA18" s="19">
        <f>AZ18-AY18</f>
        <v>9</v>
      </c>
      <c r="BB18" s="19">
        <v>269</v>
      </c>
      <c r="BC18" s="19">
        <v>240</v>
      </c>
      <c r="BE18" s="51">
        <v>429</v>
      </c>
      <c r="BF18" s="19">
        <v>284</v>
      </c>
      <c r="BG18" s="19">
        <v>293</v>
      </c>
      <c r="BH18" s="19">
        <f>BG18-BF18</f>
        <v>9</v>
      </c>
      <c r="BI18" s="19">
        <v>287</v>
      </c>
      <c r="BJ18" s="19">
        <v>212</v>
      </c>
      <c r="BL18" s="51">
        <v>429</v>
      </c>
      <c r="BM18" s="19">
        <v>303</v>
      </c>
      <c r="BN18" s="19">
        <v>314</v>
      </c>
      <c r="BO18" s="19">
        <f>BN18-BM18</f>
        <v>11</v>
      </c>
      <c r="BP18" s="19">
        <v>307</v>
      </c>
      <c r="BQ18" s="19">
        <v>240</v>
      </c>
      <c r="BS18" s="51">
        <v>429</v>
      </c>
      <c r="BT18" s="19">
        <v>323</v>
      </c>
      <c r="BU18" s="19">
        <v>329</v>
      </c>
      <c r="BV18" s="19">
        <f>BU18-BT18</f>
        <v>6</v>
      </c>
      <c r="BW18" s="19">
        <v>328</v>
      </c>
      <c r="BX18" s="19">
        <v>360</v>
      </c>
      <c r="BZ18" s="51">
        <v>429</v>
      </c>
      <c r="CA18" s="19">
        <v>329</v>
      </c>
      <c r="CB18" s="19">
        <v>349</v>
      </c>
      <c r="CC18" s="19">
        <f>CB18-CA18</f>
        <v>20</v>
      </c>
      <c r="CD18" s="19">
        <v>332</v>
      </c>
      <c r="CE18" s="19">
        <v>120</v>
      </c>
      <c r="CG18" s="51">
        <v>429</v>
      </c>
      <c r="CH18" s="19">
        <v>349</v>
      </c>
      <c r="CI18" s="19">
        <v>369</v>
      </c>
      <c r="CJ18" s="19">
        <f>CI18-CH18</f>
        <v>20</v>
      </c>
      <c r="CK18" s="19">
        <v>353</v>
      </c>
      <c r="CL18" s="19">
        <v>260</v>
      </c>
      <c r="CN18" s="51">
        <v>429</v>
      </c>
      <c r="CO18" s="19">
        <v>369</v>
      </c>
      <c r="CP18" s="19">
        <v>385</v>
      </c>
      <c r="CQ18" s="19">
        <f>CP18-CO18</f>
        <v>16</v>
      </c>
      <c r="CR18" s="19">
        <v>572</v>
      </c>
      <c r="CS18" s="19">
        <v>178</v>
      </c>
      <c r="CU18" s="51">
        <v>429</v>
      </c>
      <c r="CV18" s="19">
        <v>405</v>
      </c>
      <c r="CW18" s="19">
        <v>425</v>
      </c>
      <c r="CX18" s="19">
        <f>CW18-CV18</f>
        <v>20</v>
      </c>
      <c r="CY18" s="19">
        <v>409</v>
      </c>
      <c r="CZ18" s="19">
        <v>304</v>
      </c>
      <c r="DB18" s="51">
        <v>429</v>
      </c>
      <c r="DC18" s="19">
        <v>425</v>
      </c>
      <c r="DD18" s="19">
        <v>443</v>
      </c>
      <c r="DE18" s="19">
        <f>DD18-DC18</f>
        <v>18</v>
      </c>
      <c r="DF18" s="19">
        <v>428</v>
      </c>
      <c r="DG18" s="19">
        <v>297</v>
      </c>
      <c r="DI18" s="51">
        <v>429</v>
      </c>
      <c r="DJ18" s="19">
        <v>443</v>
      </c>
      <c r="DK18" s="19">
        <v>459</v>
      </c>
      <c r="DL18" s="19">
        <f>DK18-DJ18</f>
        <v>16</v>
      </c>
      <c r="DM18" s="19">
        <v>453</v>
      </c>
      <c r="DN18" s="19">
        <v>390</v>
      </c>
      <c r="DP18" s="51">
        <v>429</v>
      </c>
      <c r="DQ18" s="19">
        <v>459</v>
      </c>
      <c r="DR18" s="19">
        <v>474</v>
      </c>
      <c r="DS18" s="19">
        <f>DR18-DQ18</f>
        <v>15</v>
      </c>
      <c r="DT18" s="19">
        <v>462</v>
      </c>
      <c r="DU18" s="19">
        <v>284</v>
      </c>
      <c r="DW18" s="51">
        <v>429</v>
      </c>
      <c r="DX18" s="19">
        <v>474</v>
      </c>
      <c r="DY18" s="19">
        <v>489</v>
      </c>
      <c r="DZ18" s="19">
        <f>DY18-DX18</f>
        <v>15</v>
      </c>
      <c r="EA18" s="19">
        <v>477</v>
      </c>
      <c r="EB18" s="19">
        <v>154</v>
      </c>
      <c r="ED18" s="51">
        <v>429</v>
      </c>
      <c r="EE18" s="19">
        <v>489</v>
      </c>
      <c r="EF18" s="19">
        <v>499</v>
      </c>
      <c r="EG18" s="19">
        <f>EF18-EE18</f>
        <v>10</v>
      </c>
      <c r="EH18" s="19">
        <v>489</v>
      </c>
      <c r="EI18" s="19">
        <v>250</v>
      </c>
      <c r="EK18" s="51">
        <v>429</v>
      </c>
      <c r="EL18" s="19"/>
      <c r="EM18" s="19"/>
      <c r="EN18" s="19"/>
      <c r="EO18" s="19"/>
      <c r="EP18" s="19"/>
      <c r="ER18" s="51">
        <v>429</v>
      </c>
      <c r="ES18" s="19"/>
      <c r="ET18" s="19"/>
      <c r="EU18" s="19"/>
      <c r="EV18" s="19"/>
      <c r="EW18" s="19"/>
      <c r="EY18" s="51">
        <v>429</v>
      </c>
      <c r="EZ18" s="19">
        <v>513</v>
      </c>
      <c r="FA18" s="19">
        <v>528</v>
      </c>
      <c r="FB18" s="19">
        <f>FA18-EZ18</f>
        <v>15</v>
      </c>
      <c r="FC18" s="19">
        <v>514</v>
      </c>
      <c r="FD18" s="19">
        <v>250</v>
      </c>
      <c r="FF18" s="51">
        <v>429</v>
      </c>
      <c r="FG18" s="19"/>
      <c r="FH18" s="19"/>
      <c r="FI18" s="19"/>
      <c r="FJ18" s="19"/>
      <c r="FK18" s="19"/>
      <c r="FM18" s="51">
        <v>429</v>
      </c>
      <c r="FN18" s="19">
        <v>539</v>
      </c>
      <c r="FO18" s="19">
        <v>555</v>
      </c>
      <c r="FP18" s="19">
        <f>FO18-FN18</f>
        <v>16</v>
      </c>
      <c r="FQ18" s="19">
        <v>542</v>
      </c>
      <c r="FR18" s="19">
        <v>256</v>
      </c>
      <c r="FT18" s="51">
        <v>429</v>
      </c>
      <c r="FU18" s="19">
        <v>555</v>
      </c>
      <c r="FV18" s="19">
        <v>575</v>
      </c>
      <c r="FW18" s="19">
        <f>FV18-FU18</f>
        <v>20</v>
      </c>
      <c r="FX18" s="19">
        <v>559</v>
      </c>
      <c r="FY18" s="19">
        <v>206</v>
      </c>
      <c r="GA18" s="51">
        <v>429</v>
      </c>
      <c r="GB18" s="19">
        <v>575</v>
      </c>
      <c r="GC18" s="19">
        <v>594</v>
      </c>
      <c r="GD18" s="19">
        <f>GC18-GB18</f>
        <v>19</v>
      </c>
      <c r="GE18" s="19">
        <v>588</v>
      </c>
      <c r="GF18" s="19">
        <v>217</v>
      </c>
    </row>
    <row r="19" spans="1:188" x14ac:dyDescent="0.35">
      <c r="A19" s="52"/>
      <c r="B19" s="19"/>
      <c r="C19" s="19"/>
      <c r="D19" s="19"/>
      <c r="E19" s="19"/>
      <c r="F19" s="19"/>
      <c r="H19" s="52"/>
      <c r="I19" s="19"/>
      <c r="J19" s="19"/>
      <c r="K19" s="19"/>
      <c r="L19" s="19"/>
      <c r="M19" s="19"/>
      <c r="O19" s="52"/>
      <c r="P19" s="19"/>
      <c r="Q19" s="19"/>
      <c r="R19" s="19"/>
      <c r="S19" s="19">
        <v>181</v>
      </c>
      <c r="T19" s="19">
        <v>210</v>
      </c>
      <c r="V19" s="52"/>
      <c r="W19" s="19"/>
      <c r="X19" s="19"/>
      <c r="Y19" s="19"/>
      <c r="Z19" s="19"/>
      <c r="AA19" s="19"/>
      <c r="AC19" s="52"/>
      <c r="AD19" s="19"/>
      <c r="AE19" s="19"/>
      <c r="AF19" s="19"/>
      <c r="AG19" s="19"/>
      <c r="AH19" s="19"/>
      <c r="AJ19" s="52"/>
      <c r="AK19" s="19"/>
      <c r="AL19" s="19"/>
      <c r="AM19" s="19"/>
      <c r="AN19" s="19"/>
      <c r="AO19" s="19"/>
      <c r="AQ19" s="52"/>
      <c r="AR19" s="19"/>
      <c r="AS19" s="19"/>
      <c r="AT19" s="19"/>
      <c r="AU19" s="19"/>
      <c r="AV19" s="19"/>
      <c r="AX19" s="52"/>
      <c r="AY19" s="19"/>
      <c r="AZ19" s="19"/>
      <c r="BA19" s="19"/>
      <c r="BB19" s="19"/>
      <c r="BC19" s="19"/>
      <c r="BE19" s="52"/>
      <c r="BF19" s="19"/>
      <c r="BG19" s="19"/>
      <c r="BH19" s="19"/>
      <c r="BI19" s="19"/>
      <c r="BJ19" s="19"/>
      <c r="BL19" s="52"/>
      <c r="BM19" s="19"/>
      <c r="BN19" s="19"/>
      <c r="BO19" s="19"/>
      <c r="BP19" s="19"/>
      <c r="BQ19" s="19"/>
      <c r="BS19" s="52"/>
      <c r="BT19" s="19"/>
      <c r="BU19" s="19"/>
      <c r="BV19" s="19"/>
      <c r="BW19" s="19"/>
      <c r="BX19" s="19"/>
      <c r="BZ19" s="52"/>
      <c r="CA19" s="19"/>
      <c r="CB19" s="19"/>
      <c r="CC19" s="19"/>
      <c r="CD19" s="19">
        <v>342</v>
      </c>
      <c r="CE19" s="19">
        <v>220</v>
      </c>
      <c r="CG19" s="52"/>
      <c r="CH19" s="19"/>
      <c r="CI19" s="19"/>
      <c r="CJ19" s="19"/>
      <c r="CK19" s="19">
        <v>362</v>
      </c>
      <c r="CL19" s="19">
        <v>304</v>
      </c>
      <c r="CN19" s="52"/>
      <c r="CO19" s="19"/>
      <c r="CP19" s="19"/>
      <c r="CQ19" s="19"/>
      <c r="CR19" s="19">
        <v>579</v>
      </c>
      <c r="CS19" s="19">
        <v>230</v>
      </c>
      <c r="CU19" s="52"/>
      <c r="CV19" s="19"/>
      <c r="CW19" s="19"/>
      <c r="CX19" s="19"/>
      <c r="CY19" s="19">
        <v>418</v>
      </c>
      <c r="CZ19" s="19">
        <v>242</v>
      </c>
      <c r="DB19" s="52"/>
      <c r="DC19" s="19"/>
      <c r="DD19" s="19"/>
      <c r="DE19" s="19"/>
      <c r="DF19" s="19">
        <v>439</v>
      </c>
      <c r="DG19" s="19">
        <v>280</v>
      </c>
      <c r="DI19" s="52"/>
      <c r="DJ19" s="19"/>
      <c r="DK19" s="19"/>
      <c r="DL19" s="19"/>
      <c r="DM19" s="19"/>
      <c r="DN19" s="19"/>
      <c r="DP19" s="52"/>
      <c r="DQ19" s="19"/>
      <c r="DR19" s="19"/>
      <c r="DS19" s="19"/>
      <c r="DT19" s="19">
        <v>471</v>
      </c>
      <c r="DU19" s="19">
        <v>200</v>
      </c>
      <c r="DW19" s="52"/>
      <c r="DX19" s="19"/>
      <c r="DY19" s="19"/>
      <c r="DZ19" s="19"/>
      <c r="EA19" s="19">
        <v>482</v>
      </c>
      <c r="EB19" s="19">
        <v>116</v>
      </c>
      <c r="ED19" s="52"/>
      <c r="EE19" s="19"/>
      <c r="EF19" s="19"/>
      <c r="EG19" s="19"/>
      <c r="EH19" s="19">
        <v>493</v>
      </c>
      <c r="EI19" s="19">
        <v>106</v>
      </c>
      <c r="EK19" s="52"/>
      <c r="EL19" s="19"/>
      <c r="EM19" s="19"/>
      <c r="EN19" s="19"/>
      <c r="EO19" s="19"/>
      <c r="EP19" s="19"/>
      <c r="ER19" s="52"/>
      <c r="ES19" s="19"/>
      <c r="ET19" s="19"/>
      <c r="EU19" s="19"/>
      <c r="EV19" s="19"/>
      <c r="EW19" s="19"/>
      <c r="EY19" s="52"/>
      <c r="EZ19" s="19"/>
      <c r="FA19" s="19"/>
      <c r="FB19" s="19"/>
      <c r="FC19" s="19">
        <v>522</v>
      </c>
      <c r="FD19" s="19">
        <v>190</v>
      </c>
      <c r="FF19" s="52"/>
      <c r="FG19" s="19"/>
      <c r="FH19" s="19"/>
      <c r="FI19" s="19"/>
      <c r="FJ19" s="19"/>
      <c r="FK19" s="19"/>
      <c r="FM19" s="52"/>
      <c r="FN19" s="19"/>
      <c r="FO19" s="19"/>
      <c r="FP19" s="19"/>
      <c r="FQ19" s="19">
        <v>549</v>
      </c>
      <c r="FR19" s="19">
        <v>170</v>
      </c>
      <c r="FT19" s="52"/>
      <c r="FU19" s="19"/>
      <c r="FV19" s="19"/>
      <c r="FW19" s="19"/>
      <c r="FX19" s="19"/>
      <c r="FY19" s="19"/>
      <c r="GA19" s="52"/>
      <c r="GB19" s="19"/>
      <c r="GC19" s="19"/>
      <c r="GD19" s="19"/>
      <c r="GE19" s="19"/>
      <c r="GF19" s="19"/>
    </row>
    <row r="20" spans="1:188" x14ac:dyDescent="0.35">
      <c r="A20" s="51">
        <v>431</v>
      </c>
      <c r="B20" s="19"/>
      <c r="C20" s="19"/>
      <c r="D20" s="19"/>
      <c r="E20" s="19"/>
      <c r="F20" s="19"/>
      <c r="H20" s="51">
        <v>431</v>
      </c>
      <c r="I20" s="19"/>
      <c r="J20" s="19"/>
      <c r="K20" s="19"/>
      <c r="L20" s="19"/>
      <c r="M20" s="19"/>
      <c r="O20" s="51">
        <v>431</v>
      </c>
      <c r="P20" s="19"/>
      <c r="Q20" s="19"/>
      <c r="R20" s="19"/>
      <c r="S20" s="19"/>
      <c r="T20" s="19"/>
      <c r="V20" s="51">
        <v>431</v>
      </c>
      <c r="W20" s="19"/>
      <c r="X20" s="19"/>
      <c r="Y20" s="19"/>
      <c r="Z20" s="19"/>
      <c r="AA20" s="19"/>
      <c r="AC20" s="51">
        <v>431</v>
      </c>
      <c r="AD20" s="19"/>
      <c r="AE20" s="19"/>
      <c r="AF20" s="19"/>
      <c r="AG20" s="19"/>
      <c r="AH20" s="19"/>
      <c r="AJ20" s="51">
        <v>431</v>
      </c>
      <c r="AK20" s="19"/>
      <c r="AL20" s="19"/>
      <c r="AM20" s="19"/>
      <c r="AN20" s="19"/>
      <c r="AO20" s="19"/>
      <c r="AQ20" s="51">
        <v>431</v>
      </c>
      <c r="AR20" s="19"/>
      <c r="AS20" s="19"/>
      <c r="AT20" s="19"/>
      <c r="AU20" s="19"/>
      <c r="AV20" s="19"/>
      <c r="AX20" s="51">
        <v>431</v>
      </c>
      <c r="AY20" s="19">
        <v>357</v>
      </c>
      <c r="AZ20" s="19">
        <v>367</v>
      </c>
      <c r="BA20" s="19">
        <f>AZ20-AY20</f>
        <v>10</v>
      </c>
      <c r="BB20" s="19">
        <v>360</v>
      </c>
      <c r="BC20" s="19">
        <v>238</v>
      </c>
      <c r="BE20" s="51">
        <v>431</v>
      </c>
      <c r="BF20" s="19">
        <v>374</v>
      </c>
      <c r="BG20" s="19">
        <v>383</v>
      </c>
      <c r="BH20" s="19">
        <f>BG20-BF20</f>
        <v>9</v>
      </c>
      <c r="BI20" s="19">
        <v>378</v>
      </c>
      <c r="BJ20" s="19">
        <v>146</v>
      </c>
      <c r="BL20" s="51">
        <v>431</v>
      </c>
      <c r="BM20" s="19">
        <v>390</v>
      </c>
      <c r="BN20" s="19">
        <v>400</v>
      </c>
      <c r="BO20" s="19">
        <f>BN20-BM20</f>
        <v>10</v>
      </c>
      <c r="BP20" s="19">
        <v>395</v>
      </c>
      <c r="BQ20" s="19">
        <v>320</v>
      </c>
      <c r="BS20" s="51">
        <v>431</v>
      </c>
      <c r="BT20" s="19">
        <v>410</v>
      </c>
      <c r="BU20" s="19">
        <v>413</v>
      </c>
      <c r="BV20" s="19">
        <f>BU20-BT20</f>
        <v>3</v>
      </c>
      <c r="BW20" s="19"/>
      <c r="BX20" s="19"/>
      <c r="BZ20" s="51">
        <v>431</v>
      </c>
      <c r="CA20" s="19">
        <v>413</v>
      </c>
      <c r="CB20" s="19">
        <v>432</v>
      </c>
      <c r="CC20" s="19">
        <f>CB20-CA20</f>
        <v>19</v>
      </c>
      <c r="CD20" s="19">
        <v>415</v>
      </c>
      <c r="CE20" s="19">
        <v>320</v>
      </c>
      <c r="CG20" s="51">
        <v>431</v>
      </c>
      <c r="CH20" s="19">
        <v>432</v>
      </c>
      <c r="CI20" s="19">
        <v>452</v>
      </c>
      <c r="CJ20" s="19">
        <f>CI20-CH20</f>
        <v>20</v>
      </c>
      <c r="CK20" s="19">
        <v>436</v>
      </c>
      <c r="CL20" s="19">
        <v>295</v>
      </c>
      <c r="CN20" s="51">
        <v>431</v>
      </c>
      <c r="CO20" s="19">
        <v>452</v>
      </c>
      <c r="CP20" s="19">
        <v>468</v>
      </c>
      <c r="CQ20" s="19">
        <f>CP20-CO20</f>
        <v>16</v>
      </c>
      <c r="CR20" s="19">
        <v>456</v>
      </c>
      <c r="CS20" s="19">
        <v>251</v>
      </c>
      <c r="CU20" s="51">
        <v>431</v>
      </c>
      <c r="CV20" s="19">
        <v>488</v>
      </c>
      <c r="CW20" s="19">
        <v>507</v>
      </c>
      <c r="CX20" s="19">
        <f>CW20-CV20</f>
        <v>19</v>
      </c>
      <c r="CY20" s="19">
        <v>492</v>
      </c>
      <c r="CZ20" s="19">
        <v>300</v>
      </c>
      <c r="DB20" s="51">
        <v>431</v>
      </c>
      <c r="DC20" s="19">
        <v>507</v>
      </c>
      <c r="DD20" s="19">
        <v>514</v>
      </c>
      <c r="DE20" s="19">
        <f>DD20-DC20</f>
        <v>7</v>
      </c>
      <c r="DF20" s="19">
        <v>510</v>
      </c>
      <c r="DG20" s="19">
        <v>133</v>
      </c>
      <c r="DI20" s="51">
        <v>431</v>
      </c>
      <c r="DJ20" s="19">
        <v>514</v>
      </c>
      <c r="DK20" s="19">
        <v>525</v>
      </c>
      <c r="DL20" s="19">
        <f>DK20-DJ20</f>
        <v>11</v>
      </c>
      <c r="DM20" s="19">
        <v>522</v>
      </c>
      <c r="DN20" s="19">
        <v>180</v>
      </c>
      <c r="DP20" s="51">
        <v>431</v>
      </c>
      <c r="DQ20" s="19">
        <v>525</v>
      </c>
      <c r="DR20" s="19">
        <v>540</v>
      </c>
      <c r="DS20" s="19">
        <f>DR20-DQ20</f>
        <v>15</v>
      </c>
      <c r="DT20" s="19">
        <v>522</v>
      </c>
      <c r="DU20" s="19">
        <v>129</v>
      </c>
      <c r="DW20" s="51">
        <v>431</v>
      </c>
      <c r="DX20" s="19">
        <v>540</v>
      </c>
      <c r="DY20" s="19">
        <v>553</v>
      </c>
      <c r="DZ20" s="19">
        <f>DY20-DX20</f>
        <v>13</v>
      </c>
      <c r="EA20" s="19">
        <v>543</v>
      </c>
      <c r="EB20" s="19">
        <v>197</v>
      </c>
      <c r="ED20" s="51">
        <v>431</v>
      </c>
      <c r="EE20" s="19">
        <v>553</v>
      </c>
      <c r="EF20" s="19">
        <v>568</v>
      </c>
      <c r="EG20" s="19">
        <f>EF20-EE20</f>
        <v>15</v>
      </c>
      <c r="EH20" s="19">
        <v>555</v>
      </c>
      <c r="EI20" s="19">
        <v>195</v>
      </c>
      <c r="EK20" s="51">
        <v>431</v>
      </c>
      <c r="EL20" s="19">
        <v>568</v>
      </c>
      <c r="EM20" s="19">
        <v>576</v>
      </c>
      <c r="EN20" s="19">
        <f>EM20-EL20</f>
        <v>8</v>
      </c>
      <c r="EO20" s="19">
        <v>472</v>
      </c>
      <c r="EP20" s="19">
        <v>184</v>
      </c>
      <c r="ER20" s="51">
        <v>431</v>
      </c>
      <c r="ES20" s="19"/>
      <c r="ET20" s="19"/>
      <c r="EU20" s="19"/>
      <c r="EV20" s="19"/>
      <c r="EW20" s="19"/>
      <c r="EY20" s="51">
        <v>431</v>
      </c>
      <c r="EZ20" s="19"/>
      <c r="FA20" s="19"/>
      <c r="FB20" s="19"/>
      <c r="FC20" s="19"/>
      <c r="FD20" s="19"/>
      <c r="FF20" s="51">
        <v>431</v>
      </c>
      <c r="FG20" s="19"/>
      <c r="FH20" s="19"/>
      <c r="FI20" s="19"/>
      <c r="FJ20" s="19"/>
      <c r="FK20" s="19"/>
      <c r="FM20" s="51">
        <v>431</v>
      </c>
      <c r="FN20" s="19">
        <v>602</v>
      </c>
      <c r="FO20" s="19">
        <v>618</v>
      </c>
      <c r="FP20" s="19">
        <f>FO20-FN20</f>
        <v>16</v>
      </c>
      <c r="FQ20" s="19">
        <v>604</v>
      </c>
      <c r="FR20" s="19">
        <v>186</v>
      </c>
      <c r="FT20" s="51">
        <v>431</v>
      </c>
      <c r="FU20" s="19">
        <v>618</v>
      </c>
      <c r="FV20" s="19">
        <v>637</v>
      </c>
      <c r="FW20" s="19">
        <f>FV20-FU20</f>
        <v>19</v>
      </c>
      <c r="FX20" s="19">
        <v>621</v>
      </c>
      <c r="FY20" s="19">
        <v>200</v>
      </c>
      <c r="GA20" s="51">
        <v>431</v>
      </c>
      <c r="GB20" s="19">
        <v>637</v>
      </c>
      <c r="GC20" s="19">
        <v>645</v>
      </c>
      <c r="GD20" s="19">
        <f>GC20-GB20</f>
        <v>8</v>
      </c>
      <c r="GE20" s="19">
        <v>640</v>
      </c>
      <c r="GF20" s="19">
        <v>180</v>
      </c>
    </row>
    <row r="21" spans="1:188" x14ac:dyDescent="0.35">
      <c r="A21" s="52"/>
      <c r="B21" s="19"/>
      <c r="C21" s="19"/>
      <c r="D21" s="19"/>
      <c r="E21" s="19"/>
      <c r="F21" s="19"/>
      <c r="H21" s="52"/>
      <c r="I21" s="19"/>
      <c r="J21" s="19"/>
      <c r="K21" s="19"/>
      <c r="L21" s="19"/>
      <c r="M21" s="19"/>
      <c r="O21" s="52"/>
      <c r="P21" s="19"/>
      <c r="Q21" s="19"/>
      <c r="R21" s="19"/>
      <c r="S21" s="19"/>
      <c r="T21" s="19"/>
      <c r="V21" s="52"/>
      <c r="W21" s="19"/>
      <c r="X21" s="19"/>
      <c r="Y21" s="19"/>
      <c r="Z21" s="19"/>
      <c r="AA21" s="19"/>
      <c r="AC21" s="52"/>
      <c r="AD21" s="19"/>
      <c r="AE21" s="19"/>
      <c r="AF21" s="19"/>
      <c r="AG21" s="19"/>
      <c r="AH21" s="19"/>
      <c r="AJ21" s="52"/>
      <c r="AK21" s="19"/>
      <c r="AL21" s="19"/>
      <c r="AM21" s="19"/>
      <c r="AN21" s="19"/>
      <c r="AO21" s="19"/>
      <c r="AQ21" s="52"/>
      <c r="AR21" s="19"/>
      <c r="AS21" s="19"/>
      <c r="AT21" s="19"/>
      <c r="AU21" s="19"/>
      <c r="AV21" s="19"/>
      <c r="AX21" s="52"/>
      <c r="AY21" s="19"/>
      <c r="AZ21" s="19"/>
      <c r="BA21" s="19"/>
      <c r="BB21" s="19"/>
      <c r="BC21" s="19"/>
      <c r="BE21" s="52"/>
      <c r="BF21" s="19"/>
      <c r="BG21" s="19"/>
      <c r="BH21" s="19"/>
      <c r="BI21" s="19"/>
      <c r="BJ21" s="19"/>
      <c r="BL21" s="52"/>
      <c r="BM21" s="19"/>
      <c r="BN21" s="19"/>
      <c r="BO21" s="19"/>
      <c r="BP21" s="19"/>
      <c r="BQ21" s="19"/>
      <c r="BS21" s="52"/>
      <c r="BT21" s="19"/>
      <c r="BU21" s="19"/>
      <c r="BV21" s="19"/>
      <c r="BW21" s="19"/>
      <c r="BX21" s="19"/>
      <c r="BZ21" s="52"/>
      <c r="CA21" s="19"/>
      <c r="CB21" s="19"/>
      <c r="CC21" s="19"/>
      <c r="CD21" s="19">
        <v>426</v>
      </c>
      <c r="CE21" s="19">
        <v>360</v>
      </c>
      <c r="CG21" s="52"/>
      <c r="CH21" s="19"/>
      <c r="CI21" s="19"/>
      <c r="CJ21" s="19"/>
      <c r="CK21" s="19">
        <v>446</v>
      </c>
      <c r="CL21" s="19">
        <v>233</v>
      </c>
      <c r="CN21" s="52"/>
      <c r="CO21" s="19"/>
      <c r="CP21" s="19"/>
      <c r="CQ21" s="19"/>
      <c r="CR21" s="19">
        <v>462</v>
      </c>
      <c r="CS21" s="19">
        <v>180</v>
      </c>
      <c r="CU21" s="52"/>
      <c r="CV21" s="19"/>
      <c r="CW21" s="19"/>
      <c r="CX21" s="19"/>
      <c r="CY21" s="19">
        <v>502</v>
      </c>
      <c r="CZ21" s="19">
        <v>226</v>
      </c>
      <c r="DB21" s="52"/>
      <c r="DC21" s="19"/>
      <c r="DD21" s="19"/>
      <c r="DE21" s="19"/>
      <c r="DF21" s="19"/>
      <c r="DG21" s="19"/>
      <c r="DI21" s="52"/>
      <c r="DJ21" s="19"/>
      <c r="DK21" s="19"/>
      <c r="DL21" s="19"/>
      <c r="DM21" s="19"/>
      <c r="DN21" s="19"/>
      <c r="DP21" s="52"/>
      <c r="DQ21" s="19"/>
      <c r="DR21" s="19"/>
      <c r="DS21" s="19"/>
      <c r="DT21" s="19">
        <v>537</v>
      </c>
      <c r="DU21" s="19">
        <v>210</v>
      </c>
      <c r="DW21" s="52"/>
      <c r="DX21" s="19"/>
      <c r="DY21" s="19"/>
      <c r="DZ21" s="19"/>
      <c r="EA21" s="19">
        <v>549</v>
      </c>
      <c r="EB21" s="19">
        <v>106</v>
      </c>
      <c r="ED21" s="52"/>
      <c r="EE21" s="19"/>
      <c r="EF21" s="19"/>
      <c r="EG21" s="19"/>
      <c r="EH21" s="19">
        <v>563</v>
      </c>
      <c r="EI21" s="19">
        <v>141</v>
      </c>
      <c r="EK21" s="52"/>
      <c r="EL21" s="19"/>
      <c r="EM21" s="19"/>
      <c r="EN21" s="19"/>
      <c r="EO21" s="19"/>
      <c r="EP21" s="19"/>
      <c r="ER21" s="52"/>
      <c r="ES21" s="19"/>
      <c r="ET21" s="19"/>
      <c r="EU21" s="19"/>
      <c r="EV21" s="19"/>
      <c r="EW21" s="19"/>
      <c r="EY21" s="52"/>
      <c r="EZ21" s="19"/>
      <c r="FA21" s="19"/>
      <c r="FB21" s="19"/>
      <c r="FC21" s="19"/>
      <c r="FD21" s="19"/>
      <c r="FF21" s="52"/>
      <c r="FG21" s="19"/>
      <c r="FH21" s="19"/>
      <c r="FI21" s="19"/>
      <c r="FJ21" s="19"/>
      <c r="FK21" s="19"/>
      <c r="FM21" s="52"/>
      <c r="FN21" s="19"/>
      <c r="FO21" s="19"/>
      <c r="FP21" s="19"/>
      <c r="FQ21" s="19">
        <v>613</v>
      </c>
      <c r="FR21" s="19">
        <v>190</v>
      </c>
      <c r="FT21" s="52"/>
      <c r="FU21" s="19"/>
      <c r="FV21" s="19"/>
      <c r="FW21" s="19"/>
      <c r="FX21" s="19">
        <v>632</v>
      </c>
      <c r="FY21" s="19">
        <v>270</v>
      </c>
      <c r="GA21" s="52"/>
      <c r="GB21" s="19"/>
      <c r="GC21" s="19"/>
      <c r="GD21" s="19"/>
      <c r="GE21" s="19"/>
      <c r="GF21" s="19"/>
    </row>
    <row r="22" spans="1:188" x14ac:dyDescent="0.35">
      <c r="A22" s="51">
        <v>432</v>
      </c>
      <c r="B22" s="19">
        <v>165</v>
      </c>
      <c r="C22" s="19">
        <v>171</v>
      </c>
      <c r="D22" s="19">
        <f>C22-B22</f>
        <v>6</v>
      </c>
      <c r="E22" s="19">
        <v>169</v>
      </c>
      <c r="F22" s="19">
        <v>200</v>
      </c>
      <c r="H22" s="51">
        <v>432</v>
      </c>
      <c r="I22" s="19">
        <v>171</v>
      </c>
      <c r="J22" s="19">
        <v>175</v>
      </c>
      <c r="K22" s="19">
        <f>J22-I22</f>
        <v>4</v>
      </c>
      <c r="L22" s="19">
        <v>171</v>
      </c>
      <c r="M22" s="19">
        <v>132</v>
      </c>
      <c r="O22" s="51">
        <v>432</v>
      </c>
      <c r="P22" s="19">
        <v>182</v>
      </c>
      <c r="Q22" s="19">
        <v>192</v>
      </c>
      <c r="R22" s="19">
        <f>Q22-P22</f>
        <v>10</v>
      </c>
      <c r="S22" s="19">
        <v>186</v>
      </c>
      <c r="T22" s="19">
        <v>128</v>
      </c>
      <c r="V22" s="51">
        <v>432</v>
      </c>
      <c r="W22" s="19">
        <v>203</v>
      </c>
      <c r="X22" s="19">
        <v>213</v>
      </c>
      <c r="Y22" s="19">
        <f>X22-W22</f>
        <v>10</v>
      </c>
      <c r="Z22" s="19">
        <v>207</v>
      </c>
      <c r="AA22" s="19">
        <v>302</v>
      </c>
      <c r="AC22" s="51">
        <v>432</v>
      </c>
      <c r="AD22" s="19">
        <v>223</v>
      </c>
      <c r="AE22" s="19">
        <v>233</v>
      </c>
      <c r="AF22" s="19">
        <f>AE22-AD22</f>
        <v>10</v>
      </c>
      <c r="AG22" s="19">
        <v>228</v>
      </c>
      <c r="AH22" s="19">
        <v>226</v>
      </c>
      <c r="AJ22" s="51">
        <v>432</v>
      </c>
      <c r="AK22" s="19">
        <v>244</v>
      </c>
      <c r="AL22" s="19">
        <v>254</v>
      </c>
      <c r="AM22" s="19">
        <f>AL22-AK22</f>
        <v>10</v>
      </c>
      <c r="AN22" s="19">
        <v>247</v>
      </c>
      <c r="AO22" s="19">
        <v>157</v>
      </c>
      <c r="AQ22" s="51">
        <v>432</v>
      </c>
      <c r="AR22" s="19">
        <v>264</v>
      </c>
      <c r="AS22" s="19">
        <v>274</v>
      </c>
      <c r="AT22" s="19">
        <f>AS22-AR22</f>
        <v>10</v>
      </c>
      <c r="AU22" s="19">
        <v>268</v>
      </c>
      <c r="AV22" s="19">
        <v>214</v>
      </c>
      <c r="AX22" s="51">
        <v>432</v>
      </c>
      <c r="AY22" s="19">
        <v>284</v>
      </c>
      <c r="AZ22" s="19">
        <v>295</v>
      </c>
      <c r="BA22" s="19">
        <f>AZ22-AY22</f>
        <v>11</v>
      </c>
      <c r="BB22" s="19">
        <v>288</v>
      </c>
      <c r="BC22" s="19">
        <v>230</v>
      </c>
      <c r="BE22" s="51">
        <v>432</v>
      </c>
      <c r="BF22" s="19">
        <v>303</v>
      </c>
      <c r="BG22" s="19">
        <v>313</v>
      </c>
      <c r="BH22" s="19">
        <f>BG22-BF22</f>
        <v>10</v>
      </c>
      <c r="BI22" s="19">
        <v>306</v>
      </c>
      <c r="BJ22" s="19">
        <v>172</v>
      </c>
      <c r="BL22" s="51">
        <v>432</v>
      </c>
      <c r="BM22" s="19">
        <v>320</v>
      </c>
      <c r="BN22" s="19">
        <v>330</v>
      </c>
      <c r="BO22" s="19">
        <f>BN22-BM22</f>
        <v>10</v>
      </c>
      <c r="BP22" s="19">
        <v>324</v>
      </c>
      <c r="BQ22" s="19">
        <v>265</v>
      </c>
      <c r="BS22" s="51">
        <v>432</v>
      </c>
      <c r="BT22" s="19">
        <v>339</v>
      </c>
      <c r="BU22" s="19">
        <v>350</v>
      </c>
      <c r="BV22" s="19">
        <f>BU22-BT22</f>
        <v>11</v>
      </c>
      <c r="BW22" s="19">
        <v>345</v>
      </c>
      <c r="BX22" s="19">
        <v>295</v>
      </c>
      <c r="BZ22" s="51">
        <v>432</v>
      </c>
      <c r="CA22" s="19">
        <v>350</v>
      </c>
      <c r="CB22" s="19">
        <v>371</v>
      </c>
      <c r="CC22" s="19">
        <f>CB22-CA22</f>
        <v>21</v>
      </c>
      <c r="CD22" s="19">
        <v>353</v>
      </c>
      <c r="CE22" s="19">
        <v>210</v>
      </c>
      <c r="CG22" s="51">
        <v>432</v>
      </c>
      <c r="CH22" s="19">
        <v>371</v>
      </c>
      <c r="CI22" s="19">
        <v>381</v>
      </c>
      <c r="CJ22" s="19">
        <f>CI22-CH22</f>
        <v>10</v>
      </c>
      <c r="CK22" s="19">
        <v>376</v>
      </c>
      <c r="CL22" s="19">
        <v>182</v>
      </c>
      <c r="CN22" s="51">
        <v>432</v>
      </c>
      <c r="CO22" s="19">
        <v>381</v>
      </c>
      <c r="CP22" s="19">
        <v>398</v>
      </c>
      <c r="CQ22" s="19">
        <f>CP22-CO22</f>
        <v>17</v>
      </c>
      <c r="CR22" s="19">
        <v>384</v>
      </c>
      <c r="CS22" s="19">
        <v>328</v>
      </c>
      <c r="CU22" s="51">
        <v>432</v>
      </c>
      <c r="CV22" s="19">
        <v>418</v>
      </c>
      <c r="CW22" s="19">
        <v>436</v>
      </c>
      <c r="CX22" s="19">
        <f>CW22-CV22</f>
        <v>18</v>
      </c>
      <c r="CY22" s="19">
        <v>421</v>
      </c>
      <c r="CZ22" s="19">
        <v>247</v>
      </c>
      <c r="DB22" s="51">
        <v>432</v>
      </c>
      <c r="DC22" s="19">
        <v>436</v>
      </c>
      <c r="DD22" s="19">
        <v>454</v>
      </c>
      <c r="DE22" s="19">
        <f>DD22-DC22</f>
        <v>18</v>
      </c>
      <c r="DF22" s="19">
        <v>440</v>
      </c>
      <c r="DG22" s="19">
        <v>175</v>
      </c>
      <c r="DI22" s="51">
        <v>432</v>
      </c>
      <c r="DJ22" s="19">
        <v>454</v>
      </c>
      <c r="DK22" s="19">
        <v>471</v>
      </c>
      <c r="DL22" s="19">
        <f>DK22-DJ22</f>
        <v>17</v>
      </c>
      <c r="DM22" s="19">
        <v>456</v>
      </c>
      <c r="DN22" s="19">
        <v>190</v>
      </c>
      <c r="DP22" s="51">
        <v>432</v>
      </c>
      <c r="DQ22" s="19">
        <v>471</v>
      </c>
      <c r="DR22" s="19">
        <v>483</v>
      </c>
      <c r="DS22" s="19">
        <f>DR22-DQ22</f>
        <v>12</v>
      </c>
      <c r="DT22" s="19">
        <v>474</v>
      </c>
      <c r="DU22" s="19">
        <v>211</v>
      </c>
      <c r="DW22" s="51">
        <v>432</v>
      </c>
      <c r="DX22" s="19">
        <v>483</v>
      </c>
      <c r="DY22" s="19">
        <v>489</v>
      </c>
      <c r="DZ22" s="19">
        <f>DY22-DX22</f>
        <v>6</v>
      </c>
      <c r="EA22" s="19">
        <v>486</v>
      </c>
      <c r="EB22" s="19">
        <v>250</v>
      </c>
      <c r="ED22" s="51">
        <v>432</v>
      </c>
      <c r="EE22" s="19">
        <v>489</v>
      </c>
      <c r="EF22" s="19">
        <v>504</v>
      </c>
      <c r="EG22" s="19">
        <f>EF22-EE22</f>
        <v>15</v>
      </c>
      <c r="EH22" s="19">
        <v>491</v>
      </c>
      <c r="EI22" s="19">
        <v>200</v>
      </c>
      <c r="EK22" s="51">
        <v>432</v>
      </c>
      <c r="EL22" s="19"/>
      <c r="EM22" s="19"/>
      <c r="EN22" s="19"/>
      <c r="EO22" s="19"/>
      <c r="EP22" s="19"/>
      <c r="ER22" s="51">
        <v>432</v>
      </c>
      <c r="ES22" s="19"/>
      <c r="ET22" s="19"/>
      <c r="EU22" s="19"/>
      <c r="EV22" s="19"/>
      <c r="EW22" s="19"/>
      <c r="EY22" s="51">
        <v>432</v>
      </c>
      <c r="EZ22" s="19">
        <v>516</v>
      </c>
      <c r="FA22" s="19">
        <v>530</v>
      </c>
      <c r="FB22" s="19">
        <f>FA22-EZ22</f>
        <v>14</v>
      </c>
      <c r="FC22" s="19">
        <v>518</v>
      </c>
      <c r="FD22" s="19">
        <v>100</v>
      </c>
      <c r="FF22" s="51">
        <v>432</v>
      </c>
      <c r="FG22" s="19"/>
      <c r="FH22" s="19"/>
      <c r="FI22" s="19"/>
      <c r="FJ22" s="19"/>
      <c r="FK22" s="19"/>
      <c r="FM22" s="51">
        <v>432</v>
      </c>
      <c r="FN22" s="19">
        <v>540</v>
      </c>
      <c r="FO22" s="19">
        <v>558</v>
      </c>
      <c r="FP22" s="19">
        <f>FO22-FN22</f>
        <v>18</v>
      </c>
      <c r="FQ22" s="19">
        <v>543</v>
      </c>
      <c r="FR22" s="19">
        <v>100</v>
      </c>
      <c r="FT22" s="51">
        <v>432</v>
      </c>
      <c r="FU22" s="19">
        <v>558</v>
      </c>
      <c r="FV22" s="19">
        <v>578</v>
      </c>
      <c r="FW22" s="19">
        <f>FV22-FU22</f>
        <v>20</v>
      </c>
      <c r="FX22" s="19">
        <v>562</v>
      </c>
      <c r="FY22" s="19">
        <v>260</v>
      </c>
      <c r="GA22" s="51">
        <v>432</v>
      </c>
      <c r="GB22" s="19">
        <v>578</v>
      </c>
      <c r="GC22" s="19">
        <v>598</v>
      </c>
      <c r="GD22" s="19">
        <f>GC22-GB22</f>
        <v>20</v>
      </c>
      <c r="GE22" s="19">
        <v>582</v>
      </c>
      <c r="GF22" s="19">
        <v>200</v>
      </c>
    </row>
    <row r="23" spans="1:188" x14ac:dyDescent="0.35">
      <c r="A23" s="52"/>
      <c r="B23" s="19"/>
      <c r="C23" s="19"/>
      <c r="D23" s="19"/>
      <c r="E23" s="19"/>
      <c r="F23" s="19"/>
      <c r="H23" s="52"/>
      <c r="I23" s="19"/>
      <c r="J23" s="19"/>
      <c r="K23" s="19"/>
      <c r="L23" s="19"/>
      <c r="M23" s="19"/>
      <c r="O23" s="52"/>
      <c r="P23" s="19"/>
      <c r="Q23" s="19"/>
      <c r="R23" s="19"/>
      <c r="S23" s="19"/>
      <c r="T23" s="19"/>
      <c r="V23" s="52"/>
      <c r="W23" s="19"/>
      <c r="X23" s="19"/>
      <c r="Y23" s="19"/>
      <c r="Z23" s="19"/>
      <c r="AA23" s="19"/>
      <c r="AC23" s="52"/>
      <c r="AD23" s="19"/>
      <c r="AE23" s="19"/>
      <c r="AF23" s="19"/>
      <c r="AG23" s="19"/>
      <c r="AH23" s="19"/>
      <c r="AJ23" s="52"/>
      <c r="AK23" s="19"/>
      <c r="AL23" s="19"/>
      <c r="AM23" s="19"/>
      <c r="AN23" s="19"/>
      <c r="AO23" s="19"/>
      <c r="AQ23" s="52"/>
      <c r="AR23" s="19"/>
      <c r="AS23" s="19"/>
      <c r="AT23" s="19"/>
      <c r="AU23" s="19"/>
      <c r="AV23" s="19"/>
      <c r="AX23" s="52"/>
      <c r="AY23" s="19"/>
      <c r="AZ23" s="19"/>
      <c r="BA23" s="19"/>
      <c r="BB23" s="19"/>
      <c r="BC23" s="19"/>
      <c r="BE23" s="52"/>
      <c r="BF23" s="19"/>
      <c r="BG23" s="19"/>
      <c r="BH23" s="19"/>
      <c r="BI23" s="19"/>
      <c r="BJ23" s="19"/>
      <c r="BL23" s="52"/>
      <c r="BM23" s="19"/>
      <c r="BN23" s="19"/>
      <c r="BO23" s="19"/>
      <c r="BP23" s="19"/>
      <c r="BQ23" s="19"/>
      <c r="BS23" s="52"/>
      <c r="BT23" s="19"/>
      <c r="BU23" s="19"/>
      <c r="BV23" s="19"/>
      <c r="BW23" s="19"/>
      <c r="BX23" s="19"/>
      <c r="BZ23" s="52"/>
      <c r="CA23" s="19"/>
      <c r="CB23" s="19"/>
      <c r="CC23" s="19"/>
      <c r="CD23" s="19">
        <v>363</v>
      </c>
      <c r="CE23" s="19">
        <v>250</v>
      </c>
      <c r="CG23" s="52"/>
      <c r="CH23" s="19"/>
      <c r="CI23" s="19"/>
      <c r="CJ23" s="19"/>
      <c r="CK23" s="19"/>
      <c r="CL23" s="19"/>
      <c r="CN23" s="52"/>
      <c r="CO23" s="19"/>
      <c r="CP23" s="19"/>
      <c r="CQ23" s="19"/>
      <c r="CR23" s="19">
        <v>392</v>
      </c>
      <c r="CS23" s="19">
        <v>250</v>
      </c>
      <c r="CU23" s="52"/>
      <c r="CV23" s="19"/>
      <c r="CW23" s="19"/>
      <c r="CX23" s="19"/>
      <c r="CY23" s="19">
        <v>429</v>
      </c>
      <c r="CZ23" s="19">
        <v>270</v>
      </c>
      <c r="DB23" s="52"/>
      <c r="DC23" s="19"/>
      <c r="DD23" s="19"/>
      <c r="DE23" s="19"/>
      <c r="DF23" s="19">
        <v>450</v>
      </c>
      <c r="DG23" s="19">
        <v>334</v>
      </c>
      <c r="DI23" s="52"/>
      <c r="DJ23" s="19"/>
      <c r="DK23" s="19"/>
      <c r="DL23" s="19"/>
      <c r="DM23" s="19">
        <v>465</v>
      </c>
      <c r="DN23" s="19">
        <v>217</v>
      </c>
      <c r="DP23" s="52"/>
      <c r="DQ23" s="19"/>
      <c r="DR23" s="19"/>
      <c r="DS23" s="19"/>
      <c r="DT23" s="19"/>
      <c r="DU23" s="19"/>
      <c r="DW23" s="52"/>
      <c r="DX23" s="19"/>
      <c r="DY23" s="19"/>
      <c r="DZ23" s="19"/>
      <c r="EA23" s="19"/>
      <c r="EB23" s="19"/>
      <c r="ED23" s="52"/>
      <c r="EE23" s="19"/>
      <c r="EF23" s="19"/>
      <c r="EG23" s="19"/>
      <c r="EH23" s="19">
        <v>499</v>
      </c>
      <c r="EI23" s="19">
        <v>144</v>
      </c>
      <c r="EK23" s="52"/>
      <c r="EL23" s="19"/>
      <c r="EM23" s="19"/>
      <c r="EN23" s="19"/>
      <c r="EO23" s="19"/>
      <c r="EP23" s="19"/>
      <c r="ER23" s="52"/>
      <c r="ES23" s="19"/>
      <c r="ET23" s="19"/>
      <c r="EU23" s="19"/>
      <c r="EV23" s="19"/>
      <c r="EW23" s="19"/>
      <c r="EY23" s="52"/>
      <c r="EZ23" s="19"/>
      <c r="FA23" s="19"/>
      <c r="FB23" s="19"/>
      <c r="FC23" s="19">
        <v>526</v>
      </c>
      <c r="FD23" s="19">
        <v>190</v>
      </c>
      <c r="FF23" s="52"/>
      <c r="FG23" s="19"/>
      <c r="FH23" s="19"/>
      <c r="FI23" s="19"/>
      <c r="FJ23" s="19"/>
      <c r="FK23" s="19"/>
      <c r="FM23" s="52"/>
      <c r="FN23" s="19"/>
      <c r="FO23" s="19"/>
      <c r="FP23" s="19"/>
      <c r="FQ23" s="19">
        <v>551</v>
      </c>
      <c r="FR23" s="19">
        <v>230</v>
      </c>
      <c r="FT23" s="52"/>
      <c r="FU23" s="19"/>
      <c r="FV23" s="19"/>
      <c r="FW23" s="19"/>
      <c r="FX23" s="19">
        <v>572</v>
      </c>
      <c r="FY23" s="19">
        <v>250</v>
      </c>
      <c r="GA23" s="52"/>
      <c r="GB23" s="19"/>
      <c r="GC23" s="19"/>
      <c r="GD23" s="19"/>
      <c r="GE23" s="19">
        <v>593</v>
      </c>
      <c r="GF23" s="19">
        <v>152</v>
      </c>
    </row>
    <row r="24" spans="1:188" x14ac:dyDescent="0.35">
      <c r="A24" s="51">
        <v>433</v>
      </c>
      <c r="B24" s="19"/>
      <c r="C24" s="19"/>
      <c r="D24" s="19"/>
      <c r="E24" s="19"/>
      <c r="F24" s="19"/>
      <c r="H24" s="51">
        <v>433</v>
      </c>
      <c r="I24" s="19"/>
      <c r="J24" s="19"/>
      <c r="K24" s="19"/>
      <c r="L24" s="19"/>
      <c r="M24" s="19"/>
      <c r="O24" s="51">
        <v>433</v>
      </c>
      <c r="P24" s="19"/>
      <c r="Q24" s="19"/>
      <c r="R24" s="19"/>
      <c r="S24" s="19"/>
      <c r="T24" s="19"/>
      <c r="V24" s="51">
        <v>433</v>
      </c>
      <c r="W24" s="19"/>
      <c r="X24" s="19"/>
      <c r="Y24" s="19"/>
      <c r="Z24" s="19"/>
      <c r="AA24" s="19"/>
      <c r="AC24" s="51">
        <v>433</v>
      </c>
      <c r="AD24" s="19"/>
      <c r="AE24" s="19"/>
      <c r="AF24" s="19"/>
      <c r="AG24" s="19"/>
      <c r="AH24" s="19"/>
      <c r="AJ24" s="51">
        <v>433</v>
      </c>
      <c r="AK24" s="19"/>
      <c r="AL24" s="19"/>
      <c r="AM24" s="19"/>
      <c r="AN24" s="19"/>
      <c r="AO24" s="19"/>
      <c r="AQ24" s="51">
        <v>433</v>
      </c>
      <c r="AR24" s="19"/>
      <c r="AS24" s="19"/>
      <c r="AT24" s="19"/>
      <c r="AU24" s="19"/>
      <c r="AV24" s="19"/>
      <c r="AX24" s="51">
        <v>433</v>
      </c>
      <c r="AY24" s="19">
        <v>290</v>
      </c>
      <c r="AZ24" s="19">
        <v>301</v>
      </c>
      <c r="BA24" s="19">
        <f>AZ24-AY24</f>
        <v>11</v>
      </c>
      <c r="BB24" s="19">
        <v>294</v>
      </c>
      <c r="BC24" s="19">
        <v>194</v>
      </c>
      <c r="BE24" s="51">
        <v>433</v>
      </c>
      <c r="BF24" s="19">
        <v>309</v>
      </c>
      <c r="BG24" s="19">
        <v>319</v>
      </c>
      <c r="BH24" s="19">
        <f>BG24-BF24</f>
        <v>10</v>
      </c>
      <c r="BI24" s="19">
        <v>313</v>
      </c>
      <c r="BJ24" s="19">
        <v>200</v>
      </c>
      <c r="BL24" s="51">
        <v>433</v>
      </c>
      <c r="BM24" s="19">
        <v>326</v>
      </c>
      <c r="BN24" s="19">
        <v>336</v>
      </c>
      <c r="BO24" s="19">
        <f>BN24-BM24</f>
        <v>10</v>
      </c>
      <c r="BP24" s="19">
        <v>330</v>
      </c>
      <c r="BQ24" s="19">
        <v>320</v>
      </c>
      <c r="BS24" s="51">
        <v>433</v>
      </c>
      <c r="BT24" s="19">
        <v>346</v>
      </c>
      <c r="BU24" s="19">
        <v>357</v>
      </c>
      <c r="BV24" s="19">
        <f>BU24-BT24</f>
        <v>11</v>
      </c>
      <c r="BW24" s="19">
        <v>351</v>
      </c>
      <c r="BX24" s="19">
        <v>290</v>
      </c>
      <c r="BZ24" s="51">
        <v>433</v>
      </c>
      <c r="CA24" s="19">
        <v>357</v>
      </c>
      <c r="CB24" s="19">
        <v>370</v>
      </c>
      <c r="CC24" s="19">
        <f>CB24-CA24</f>
        <v>13</v>
      </c>
      <c r="CD24" s="19">
        <v>361</v>
      </c>
      <c r="CE24" s="19">
        <v>228</v>
      </c>
      <c r="CG24" s="51">
        <v>433</v>
      </c>
      <c r="CH24" s="19">
        <v>370</v>
      </c>
      <c r="CI24" s="19">
        <v>388</v>
      </c>
      <c r="CJ24" s="19">
        <f>CI24-CH24</f>
        <v>18</v>
      </c>
      <c r="CK24" s="19">
        <v>374</v>
      </c>
      <c r="CL24" s="19">
        <v>332</v>
      </c>
      <c r="CN24" s="51">
        <v>433</v>
      </c>
      <c r="CO24" s="19">
        <v>388</v>
      </c>
      <c r="CP24" s="19">
        <v>404</v>
      </c>
      <c r="CQ24" s="19">
        <f>CP24-CO24</f>
        <v>16</v>
      </c>
      <c r="CR24" s="19">
        <v>391</v>
      </c>
      <c r="CS24" s="19">
        <v>203</v>
      </c>
      <c r="CU24" s="51">
        <v>433</v>
      </c>
      <c r="CV24" s="19">
        <v>422</v>
      </c>
      <c r="CW24" s="19">
        <v>439</v>
      </c>
      <c r="CX24" s="19">
        <f>CW24-CV24</f>
        <v>17</v>
      </c>
      <c r="CY24" s="19">
        <v>426</v>
      </c>
      <c r="CZ24" s="19">
        <v>221</v>
      </c>
      <c r="DB24" s="51">
        <v>433</v>
      </c>
      <c r="DC24" s="19">
        <v>439</v>
      </c>
      <c r="DD24" s="19">
        <v>456</v>
      </c>
      <c r="DE24" s="19">
        <f>DD24-DC24</f>
        <v>17</v>
      </c>
      <c r="DF24" s="19">
        <v>433</v>
      </c>
      <c r="DG24" s="19">
        <v>332</v>
      </c>
      <c r="DI24" s="51">
        <v>433</v>
      </c>
      <c r="DJ24" s="19">
        <v>456</v>
      </c>
      <c r="DK24" s="19">
        <v>472</v>
      </c>
      <c r="DL24" s="19">
        <f>DK24-DJ24</f>
        <v>16</v>
      </c>
      <c r="DM24" s="19"/>
      <c r="DN24" s="19"/>
      <c r="DP24" s="51">
        <v>433</v>
      </c>
      <c r="DQ24" s="19">
        <v>472</v>
      </c>
      <c r="DR24" s="19">
        <v>478</v>
      </c>
      <c r="DS24" s="19">
        <f>DR24-DQ24</f>
        <v>6</v>
      </c>
      <c r="DT24" s="19">
        <v>475</v>
      </c>
      <c r="DU24" s="19">
        <v>300</v>
      </c>
      <c r="DW24" s="51">
        <v>433</v>
      </c>
      <c r="DX24" s="19">
        <v>478</v>
      </c>
      <c r="DY24" s="19">
        <v>491</v>
      </c>
      <c r="DZ24" s="19">
        <f>DY24-DX24</f>
        <v>13</v>
      </c>
      <c r="EA24" s="19">
        <v>482</v>
      </c>
      <c r="EB24" s="19">
        <v>270</v>
      </c>
      <c r="ED24" s="51">
        <v>433</v>
      </c>
      <c r="EE24" s="19">
        <v>491</v>
      </c>
      <c r="EF24" s="19">
        <v>507</v>
      </c>
      <c r="EG24" s="19">
        <f>EF24-EE24</f>
        <v>16</v>
      </c>
      <c r="EH24" s="19">
        <v>494</v>
      </c>
      <c r="EI24" s="19">
        <v>201</v>
      </c>
      <c r="EK24" s="51">
        <v>433</v>
      </c>
      <c r="EL24" s="19"/>
      <c r="EM24" s="19"/>
      <c r="EN24" s="19"/>
      <c r="EO24" s="19"/>
      <c r="EP24" s="19"/>
      <c r="ER24" s="51">
        <v>433</v>
      </c>
      <c r="ES24" s="19"/>
      <c r="ET24" s="19"/>
      <c r="EU24" s="19"/>
      <c r="EV24" s="19"/>
      <c r="EW24" s="19"/>
      <c r="EY24" s="51">
        <v>433</v>
      </c>
      <c r="EZ24" s="19">
        <v>519</v>
      </c>
      <c r="FA24" s="19">
        <v>534</v>
      </c>
      <c r="FB24" s="19">
        <f>FA24-EZ24</f>
        <v>15</v>
      </c>
      <c r="FC24" s="19">
        <v>521</v>
      </c>
      <c r="FD24" s="19">
        <v>63</v>
      </c>
      <c r="FF24" s="51">
        <v>433</v>
      </c>
      <c r="FG24" s="19"/>
      <c r="FH24" s="19"/>
      <c r="FI24" s="19"/>
      <c r="FJ24" s="19"/>
      <c r="FK24" s="19"/>
      <c r="FM24" s="51">
        <v>433</v>
      </c>
      <c r="FN24" s="19">
        <v>545</v>
      </c>
      <c r="FO24" s="19">
        <v>562</v>
      </c>
      <c r="FP24" s="19">
        <f>FO24-FN24</f>
        <v>17</v>
      </c>
      <c r="FQ24" s="19">
        <v>547</v>
      </c>
      <c r="FR24" s="19">
        <v>290</v>
      </c>
      <c r="FT24" s="51">
        <v>433</v>
      </c>
      <c r="FU24" s="19">
        <v>562</v>
      </c>
      <c r="FV24" s="19">
        <v>582</v>
      </c>
      <c r="FW24" s="19">
        <f>FV24-FU24</f>
        <v>20</v>
      </c>
      <c r="FX24" s="19">
        <v>576</v>
      </c>
      <c r="FY24" s="19">
        <v>250</v>
      </c>
      <c r="GA24" s="51">
        <v>433</v>
      </c>
      <c r="GB24" s="19">
        <v>582</v>
      </c>
      <c r="GC24" s="19">
        <v>600</v>
      </c>
      <c r="GD24" s="19">
        <f>GC24-GB24</f>
        <v>18</v>
      </c>
      <c r="GE24" s="19">
        <v>586</v>
      </c>
      <c r="GF24" s="19">
        <v>250</v>
      </c>
    </row>
    <row r="25" spans="1:188" x14ac:dyDescent="0.35">
      <c r="A25" s="52"/>
      <c r="B25" s="19"/>
      <c r="C25" s="19"/>
      <c r="D25" s="19"/>
      <c r="E25" s="19"/>
      <c r="F25" s="19"/>
      <c r="H25" s="52"/>
      <c r="I25" s="19"/>
      <c r="J25" s="19"/>
      <c r="K25" s="19"/>
      <c r="L25" s="19"/>
      <c r="M25" s="19"/>
      <c r="O25" s="52"/>
      <c r="P25" s="19"/>
      <c r="Q25" s="19"/>
      <c r="R25" s="19"/>
      <c r="S25" s="19"/>
      <c r="T25" s="19"/>
      <c r="V25" s="52"/>
      <c r="W25" s="19"/>
      <c r="X25" s="19"/>
      <c r="Y25" s="19"/>
      <c r="Z25" s="19"/>
      <c r="AA25" s="19"/>
      <c r="AC25" s="52"/>
      <c r="AD25" s="19"/>
      <c r="AE25" s="19"/>
      <c r="AF25" s="19"/>
      <c r="AG25" s="19"/>
      <c r="AH25" s="19"/>
      <c r="AJ25" s="52"/>
      <c r="AK25" s="19"/>
      <c r="AL25" s="19"/>
      <c r="AM25" s="19"/>
      <c r="AN25" s="19"/>
      <c r="AO25" s="19"/>
      <c r="AQ25" s="52"/>
      <c r="AR25" s="19"/>
      <c r="AS25" s="19"/>
      <c r="AT25" s="19"/>
      <c r="AU25" s="19"/>
      <c r="AV25" s="19"/>
      <c r="AX25" s="52"/>
      <c r="AY25" s="19"/>
      <c r="AZ25" s="19"/>
      <c r="BA25" s="19"/>
      <c r="BB25" s="19"/>
      <c r="BC25" s="19"/>
      <c r="BE25" s="52"/>
      <c r="BF25" s="19"/>
      <c r="BG25" s="19"/>
      <c r="BH25" s="19"/>
      <c r="BI25" s="19"/>
      <c r="BJ25" s="19"/>
      <c r="BL25" s="52"/>
      <c r="BM25" s="19"/>
      <c r="BN25" s="19"/>
      <c r="BO25" s="19"/>
      <c r="BP25" s="19"/>
      <c r="BQ25" s="19"/>
      <c r="BS25" s="52"/>
      <c r="BT25" s="19"/>
      <c r="BU25" s="19"/>
      <c r="BV25" s="19"/>
      <c r="BW25" s="19"/>
      <c r="BX25" s="19"/>
      <c r="BZ25" s="52"/>
      <c r="CA25" s="19"/>
      <c r="CB25" s="19"/>
      <c r="CC25" s="19"/>
      <c r="CD25" s="19"/>
      <c r="CE25" s="19"/>
      <c r="CG25" s="52"/>
      <c r="CH25" s="19"/>
      <c r="CI25" s="19"/>
      <c r="CJ25" s="19"/>
      <c r="CK25" s="19">
        <v>383</v>
      </c>
      <c r="CL25" s="19">
        <v>203</v>
      </c>
      <c r="CN25" s="52"/>
      <c r="CO25" s="19"/>
      <c r="CP25" s="19"/>
      <c r="CQ25" s="19"/>
      <c r="CR25" s="19">
        <v>398</v>
      </c>
      <c r="CS25" s="19">
        <v>160</v>
      </c>
      <c r="CU25" s="52"/>
      <c r="CV25" s="19"/>
      <c r="CW25" s="19"/>
      <c r="CX25" s="19"/>
      <c r="CY25" s="19">
        <v>432</v>
      </c>
      <c r="CZ25" s="19">
        <v>135</v>
      </c>
      <c r="DB25" s="52"/>
      <c r="DC25" s="19"/>
      <c r="DD25" s="19"/>
      <c r="DE25" s="19"/>
      <c r="DF25" s="19">
        <v>452</v>
      </c>
      <c r="DG25" s="19">
        <v>200</v>
      </c>
      <c r="DI25" s="52"/>
      <c r="DJ25" s="19"/>
      <c r="DK25" s="19"/>
      <c r="DL25" s="19"/>
      <c r="DM25" s="19">
        <v>466</v>
      </c>
      <c r="DN25" s="19">
        <v>260</v>
      </c>
      <c r="DP25" s="52"/>
      <c r="DQ25" s="19"/>
      <c r="DR25" s="19"/>
      <c r="DS25" s="19"/>
      <c r="DT25" s="19"/>
      <c r="DU25" s="19"/>
      <c r="DW25" s="52"/>
      <c r="DX25" s="19"/>
      <c r="DY25" s="19"/>
      <c r="DZ25" s="19"/>
      <c r="EA25" s="19"/>
      <c r="EB25" s="19"/>
      <c r="ED25" s="52"/>
      <c r="EE25" s="19"/>
      <c r="EF25" s="19"/>
      <c r="EG25" s="19"/>
      <c r="EH25" s="19">
        <v>502</v>
      </c>
      <c r="EI25" s="19">
        <v>234</v>
      </c>
      <c r="EK25" s="52"/>
      <c r="EL25" s="19"/>
      <c r="EM25" s="19"/>
      <c r="EN25" s="19"/>
      <c r="EO25" s="19"/>
      <c r="EP25" s="19"/>
      <c r="ER25" s="52"/>
      <c r="ES25" s="19"/>
      <c r="ET25" s="19"/>
      <c r="EU25" s="19"/>
      <c r="EV25" s="19"/>
      <c r="EW25" s="19"/>
      <c r="EY25" s="52"/>
      <c r="EZ25" s="19"/>
      <c r="FA25" s="19"/>
      <c r="FB25" s="19"/>
      <c r="FC25" s="19">
        <v>529</v>
      </c>
      <c r="FD25" s="19">
        <v>190</v>
      </c>
      <c r="FF25" s="52"/>
      <c r="FG25" s="19"/>
      <c r="FH25" s="19"/>
      <c r="FI25" s="19"/>
      <c r="FJ25" s="19"/>
      <c r="FK25" s="19"/>
      <c r="FM25" s="52"/>
      <c r="FN25" s="19"/>
      <c r="FO25" s="19"/>
      <c r="FP25" s="19"/>
      <c r="FQ25" s="19">
        <v>555</v>
      </c>
      <c r="FR25" s="19">
        <v>200</v>
      </c>
      <c r="FT25" s="52"/>
      <c r="FU25" s="19"/>
      <c r="FV25" s="19"/>
      <c r="FW25" s="19"/>
      <c r="FX25" s="19"/>
      <c r="FY25" s="19"/>
      <c r="GA25" s="52"/>
      <c r="GB25" s="19"/>
      <c r="GC25" s="19"/>
      <c r="GD25" s="19"/>
      <c r="GE25" s="19">
        <v>596</v>
      </c>
      <c r="GF25" s="19">
        <v>202</v>
      </c>
    </row>
    <row r="30" spans="1:188" ht="29" x14ac:dyDescent="0.35">
      <c r="A30" s="19" t="s">
        <v>42</v>
      </c>
      <c r="B30" s="19" t="s">
        <v>48</v>
      </c>
      <c r="C30" s="19" t="s">
        <v>47</v>
      </c>
      <c r="D30" s="20" t="s">
        <v>46</v>
      </c>
      <c r="E30" s="19" t="s">
        <v>45</v>
      </c>
      <c r="F30" s="19" t="s">
        <v>44</v>
      </c>
      <c r="H30" s="19" t="s">
        <v>42</v>
      </c>
      <c r="I30" s="19" t="s">
        <v>48</v>
      </c>
      <c r="J30" s="19" t="s">
        <v>47</v>
      </c>
      <c r="K30" s="20" t="s">
        <v>46</v>
      </c>
      <c r="L30" s="19" t="s">
        <v>45</v>
      </c>
      <c r="M30" s="19" t="s">
        <v>44</v>
      </c>
      <c r="O30" s="19" t="s">
        <v>42</v>
      </c>
      <c r="P30" s="19" t="s">
        <v>48</v>
      </c>
      <c r="Q30" s="19" t="s">
        <v>47</v>
      </c>
      <c r="R30" s="20" t="s">
        <v>46</v>
      </c>
      <c r="S30" s="19" t="s">
        <v>45</v>
      </c>
      <c r="T30" s="19" t="s">
        <v>44</v>
      </c>
      <c r="V30" s="19" t="s">
        <v>42</v>
      </c>
      <c r="W30" s="19" t="s">
        <v>48</v>
      </c>
      <c r="X30" s="19" t="s">
        <v>47</v>
      </c>
      <c r="Y30" s="20" t="s">
        <v>46</v>
      </c>
      <c r="Z30" s="19" t="s">
        <v>45</v>
      </c>
      <c r="AA30" s="19" t="s">
        <v>44</v>
      </c>
      <c r="AC30" s="19" t="s">
        <v>42</v>
      </c>
      <c r="AD30" s="19" t="s">
        <v>48</v>
      </c>
      <c r="AE30" s="19" t="s">
        <v>47</v>
      </c>
      <c r="AF30" s="20" t="s">
        <v>46</v>
      </c>
      <c r="AG30" s="19" t="s">
        <v>45</v>
      </c>
      <c r="AH30" s="19" t="s">
        <v>44</v>
      </c>
      <c r="AJ30" s="19" t="s">
        <v>42</v>
      </c>
      <c r="AK30" s="19" t="s">
        <v>48</v>
      </c>
      <c r="AL30" s="19" t="s">
        <v>47</v>
      </c>
      <c r="AM30" s="20" t="s">
        <v>46</v>
      </c>
      <c r="AN30" s="19" t="s">
        <v>45</v>
      </c>
      <c r="AO30" s="19" t="s">
        <v>44</v>
      </c>
      <c r="AQ30" s="19" t="s">
        <v>42</v>
      </c>
      <c r="AR30" s="19" t="s">
        <v>48</v>
      </c>
      <c r="AS30" s="19" t="s">
        <v>47</v>
      </c>
      <c r="AT30" s="20" t="s">
        <v>46</v>
      </c>
      <c r="AU30" s="19" t="s">
        <v>45</v>
      </c>
      <c r="AV30" s="19" t="s">
        <v>44</v>
      </c>
      <c r="AX30" s="19" t="s">
        <v>42</v>
      </c>
      <c r="AY30" s="19" t="s">
        <v>48</v>
      </c>
      <c r="AZ30" s="19" t="s">
        <v>47</v>
      </c>
      <c r="BA30" s="20" t="s">
        <v>46</v>
      </c>
      <c r="BB30" s="19" t="s">
        <v>45</v>
      </c>
      <c r="BC30" s="19" t="s">
        <v>44</v>
      </c>
      <c r="BE30" s="19" t="s">
        <v>42</v>
      </c>
      <c r="BF30" s="19" t="s">
        <v>48</v>
      </c>
      <c r="BG30" s="19" t="s">
        <v>47</v>
      </c>
      <c r="BH30" s="20" t="s">
        <v>46</v>
      </c>
      <c r="BI30" s="19" t="s">
        <v>45</v>
      </c>
      <c r="BJ30" s="19" t="s">
        <v>44</v>
      </c>
      <c r="BL30" s="19" t="s">
        <v>42</v>
      </c>
      <c r="BM30" s="19" t="s">
        <v>48</v>
      </c>
      <c r="BN30" s="19" t="s">
        <v>47</v>
      </c>
      <c r="BO30" s="20" t="s">
        <v>46</v>
      </c>
      <c r="BP30" s="19" t="s">
        <v>45</v>
      </c>
      <c r="BQ30" s="19" t="s">
        <v>44</v>
      </c>
      <c r="BS30" s="19" t="s">
        <v>42</v>
      </c>
      <c r="BT30" s="19" t="s">
        <v>48</v>
      </c>
      <c r="BU30" s="19" t="s">
        <v>47</v>
      </c>
      <c r="BV30" s="20" t="s">
        <v>46</v>
      </c>
      <c r="BW30" s="19" t="s">
        <v>45</v>
      </c>
      <c r="BX30" s="19" t="s">
        <v>44</v>
      </c>
      <c r="BZ30" s="19" t="s">
        <v>42</v>
      </c>
      <c r="CA30" s="19" t="s">
        <v>48</v>
      </c>
      <c r="CB30" s="19" t="s">
        <v>47</v>
      </c>
      <c r="CC30" s="20" t="s">
        <v>46</v>
      </c>
      <c r="CD30" s="19" t="s">
        <v>45</v>
      </c>
      <c r="CE30" s="19" t="s">
        <v>44</v>
      </c>
      <c r="CG30" s="19" t="s">
        <v>42</v>
      </c>
      <c r="CH30" s="19" t="s">
        <v>48</v>
      </c>
      <c r="CI30" s="19" t="s">
        <v>47</v>
      </c>
      <c r="CJ30" s="20" t="s">
        <v>46</v>
      </c>
      <c r="CK30" s="19" t="s">
        <v>45</v>
      </c>
      <c r="CL30" s="19" t="s">
        <v>44</v>
      </c>
      <c r="CN30" s="19" t="s">
        <v>42</v>
      </c>
      <c r="CO30" s="19" t="s">
        <v>48</v>
      </c>
      <c r="CP30" s="19" t="s">
        <v>47</v>
      </c>
      <c r="CQ30" s="20" t="s">
        <v>46</v>
      </c>
      <c r="CR30" s="19" t="s">
        <v>45</v>
      </c>
      <c r="CS30" s="19" t="s">
        <v>44</v>
      </c>
      <c r="DW30" s="19" t="s">
        <v>42</v>
      </c>
      <c r="DX30" s="19" t="s">
        <v>48</v>
      </c>
      <c r="DY30" s="19" t="s">
        <v>47</v>
      </c>
      <c r="DZ30" s="20" t="s">
        <v>46</v>
      </c>
      <c r="EA30" s="19" t="s">
        <v>45</v>
      </c>
      <c r="EB30" s="19" t="s">
        <v>44</v>
      </c>
      <c r="ED30" s="19" t="s">
        <v>42</v>
      </c>
      <c r="EE30" s="19" t="s">
        <v>48</v>
      </c>
      <c r="EF30" s="19" t="s">
        <v>47</v>
      </c>
      <c r="EG30" s="20" t="s">
        <v>46</v>
      </c>
      <c r="EH30" s="19" t="s">
        <v>45</v>
      </c>
      <c r="EI30" s="19" t="s">
        <v>44</v>
      </c>
      <c r="EK30" s="19" t="s">
        <v>42</v>
      </c>
      <c r="EL30" s="19" t="s">
        <v>48</v>
      </c>
      <c r="EM30" s="19" t="s">
        <v>47</v>
      </c>
      <c r="EN30" s="20" t="s">
        <v>46</v>
      </c>
      <c r="EO30" s="19" t="s">
        <v>45</v>
      </c>
      <c r="EP30" s="19" t="s">
        <v>44</v>
      </c>
      <c r="ER30" s="19" t="s">
        <v>42</v>
      </c>
      <c r="ES30" s="19" t="s">
        <v>48</v>
      </c>
      <c r="ET30" s="19" t="s">
        <v>47</v>
      </c>
      <c r="EU30" s="20" t="s">
        <v>46</v>
      </c>
      <c r="EV30" s="19" t="s">
        <v>45</v>
      </c>
      <c r="EW30" s="19" t="s">
        <v>44</v>
      </c>
      <c r="EY30" s="19" t="s">
        <v>42</v>
      </c>
      <c r="EZ30" s="19" t="s">
        <v>48</v>
      </c>
      <c r="FA30" s="19" t="s">
        <v>47</v>
      </c>
      <c r="FB30" s="20" t="s">
        <v>46</v>
      </c>
      <c r="FC30" s="19" t="s">
        <v>45</v>
      </c>
      <c r="FD30" s="19" t="s">
        <v>44</v>
      </c>
      <c r="FF30" s="19" t="s">
        <v>42</v>
      </c>
      <c r="FG30" s="19" t="s">
        <v>48</v>
      </c>
      <c r="FH30" s="19" t="s">
        <v>47</v>
      </c>
      <c r="FI30" s="20" t="s">
        <v>46</v>
      </c>
      <c r="FJ30" s="19" t="s">
        <v>45</v>
      </c>
      <c r="FK30" s="19" t="s">
        <v>44</v>
      </c>
      <c r="FM30" s="19" t="s">
        <v>42</v>
      </c>
      <c r="FN30" s="19" t="s">
        <v>48</v>
      </c>
      <c r="FO30" s="19" t="s">
        <v>47</v>
      </c>
      <c r="FP30" s="20" t="s">
        <v>46</v>
      </c>
      <c r="FQ30" s="19" t="s">
        <v>45</v>
      </c>
      <c r="FR30" s="19" t="s">
        <v>44</v>
      </c>
      <c r="FT30" s="19" t="s">
        <v>42</v>
      </c>
      <c r="FU30" s="19" t="s">
        <v>48</v>
      </c>
      <c r="FV30" s="19" t="s">
        <v>47</v>
      </c>
      <c r="FW30" s="20" t="s">
        <v>46</v>
      </c>
      <c r="FX30" s="19" t="s">
        <v>45</v>
      </c>
      <c r="FY30" s="19" t="s">
        <v>44</v>
      </c>
      <c r="GA30" s="19" t="s">
        <v>42</v>
      </c>
      <c r="GB30" s="19" t="s">
        <v>48</v>
      </c>
      <c r="GC30" s="19" t="s">
        <v>47</v>
      </c>
      <c r="GD30" s="20" t="s">
        <v>46</v>
      </c>
      <c r="GE30" s="19" t="s">
        <v>45</v>
      </c>
      <c r="GF30" s="19" t="s">
        <v>44</v>
      </c>
    </row>
    <row r="31" spans="1:188" x14ac:dyDescent="0.35">
      <c r="A31" s="19">
        <v>416</v>
      </c>
      <c r="B31" s="19"/>
      <c r="C31" s="19"/>
      <c r="D31" s="19"/>
      <c r="E31" s="19"/>
      <c r="F31" s="19"/>
      <c r="H31" s="19">
        <v>416</v>
      </c>
      <c r="I31" s="19"/>
      <c r="J31" s="19"/>
      <c r="K31" s="19"/>
      <c r="L31" s="19"/>
      <c r="M31" s="19"/>
      <c r="O31" s="19">
        <v>416</v>
      </c>
      <c r="P31" s="19"/>
      <c r="Q31" s="19"/>
      <c r="R31" s="19"/>
      <c r="S31" s="19"/>
      <c r="T31" s="19"/>
      <c r="V31" s="19">
        <v>416</v>
      </c>
      <c r="W31" s="19"/>
      <c r="X31" s="19"/>
      <c r="Y31" s="19"/>
      <c r="Z31" s="19"/>
      <c r="AA31" s="19"/>
      <c r="AC31" s="19">
        <v>416</v>
      </c>
      <c r="AD31" s="19"/>
      <c r="AE31" s="19"/>
      <c r="AF31" s="19"/>
      <c r="AG31" s="19"/>
      <c r="AH31" s="19"/>
      <c r="AJ31" s="19">
        <v>416</v>
      </c>
      <c r="AK31" s="19"/>
      <c r="AL31" s="19"/>
      <c r="AM31" s="19"/>
      <c r="AN31" s="19"/>
      <c r="AO31" s="19"/>
      <c r="AQ31" s="19">
        <v>416</v>
      </c>
      <c r="AR31" s="19"/>
      <c r="AS31" s="19"/>
      <c r="AT31" s="19"/>
      <c r="AU31" s="19"/>
      <c r="AV31" s="19"/>
      <c r="AX31" s="19">
        <v>416</v>
      </c>
      <c r="AY31" s="19"/>
      <c r="AZ31" s="19"/>
      <c r="BA31" s="19"/>
      <c r="BB31" s="19"/>
      <c r="BC31" s="19"/>
      <c r="BE31" s="19">
        <v>416</v>
      </c>
      <c r="BF31" s="19"/>
      <c r="BG31" s="19"/>
      <c r="BH31" s="19"/>
      <c r="BI31" s="19"/>
      <c r="BJ31" s="19"/>
      <c r="BL31" s="19">
        <v>416</v>
      </c>
      <c r="BM31" s="19"/>
      <c r="BN31" s="19"/>
      <c r="BO31" s="19"/>
      <c r="BP31" s="19"/>
      <c r="BQ31" s="19"/>
      <c r="BS31" s="19">
        <v>416</v>
      </c>
      <c r="BT31" s="19"/>
      <c r="BU31" s="19"/>
      <c r="BV31" s="19"/>
      <c r="BW31" s="19"/>
      <c r="BX31" s="19"/>
      <c r="BZ31" s="19">
        <v>416</v>
      </c>
      <c r="CA31" s="19"/>
      <c r="CB31" s="19"/>
      <c r="CC31" s="19"/>
      <c r="CD31" s="19"/>
      <c r="CE31" s="19"/>
      <c r="CG31" s="19">
        <v>416</v>
      </c>
      <c r="CH31" s="19"/>
      <c r="CI31" s="19"/>
      <c r="CJ31" s="19"/>
      <c r="CK31" s="19"/>
      <c r="CL31" s="19"/>
      <c r="CN31" s="19">
        <v>416</v>
      </c>
      <c r="CO31" s="19"/>
      <c r="CP31" s="19"/>
      <c r="CQ31" s="19"/>
      <c r="CR31" s="19"/>
      <c r="CS31" s="19"/>
      <c r="DW31" s="19">
        <v>416</v>
      </c>
      <c r="DX31" s="19"/>
      <c r="DY31" s="19"/>
      <c r="DZ31" s="19"/>
      <c r="EA31" s="19"/>
      <c r="EB31" s="19"/>
      <c r="ED31" s="19">
        <v>416</v>
      </c>
      <c r="EE31" s="19"/>
      <c r="EF31" s="19"/>
      <c r="EG31" s="19"/>
      <c r="EH31" s="19"/>
      <c r="EI31" s="19"/>
      <c r="EK31" s="19">
        <v>416</v>
      </c>
      <c r="EL31" s="19"/>
      <c r="EM31" s="19"/>
      <c r="EN31" s="19"/>
      <c r="EO31" s="19"/>
      <c r="EP31" s="19"/>
      <c r="ER31" s="19">
        <v>416</v>
      </c>
      <c r="ES31" s="19"/>
      <c r="ET31" s="19"/>
      <c r="EU31" s="19"/>
      <c r="EV31" s="19"/>
      <c r="EW31" s="19"/>
      <c r="EY31" s="19">
        <v>416</v>
      </c>
      <c r="EZ31" s="19"/>
      <c r="FA31" s="19"/>
      <c r="FB31" s="19"/>
      <c r="FC31" s="19"/>
      <c r="FD31" s="19"/>
      <c r="FF31" s="19">
        <v>416</v>
      </c>
      <c r="FG31" s="19"/>
      <c r="FH31" s="19"/>
      <c r="FI31" s="19"/>
      <c r="FJ31" s="19"/>
      <c r="FK31" s="19"/>
      <c r="FM31" s="19">
        <v>416</v>
      </c>
      <c r="FN31" s="19"/>
      <c r="FO31" s="19"/>
      <c r="FP31" s="19"/>
      <c r="FQ31" s="19"/>
      <c r="FR31" s="19"/>
      <c r="FT31" s="19">
        <v>416</v>
      </c>
      <c r="FU31" s="19"/>
      <c r="FV31" s="19"/>
      <c r="FW31" s="19"/>
      <c r="FX31" s="19"/>
      <c r="FY31" s="19"/>
      <c r="GA31" s="19">
        <v>416</v>
      </c>
      <c r="GB31" s="19"/>
      <c r="GC31" s="19"/>
      <c r="GD31" s="19"/>
      <c r="GE31" s="19"/>
      <c r="GF31" s="19"/>
    </row>
    <row r="32" spans="1:188" x14ac:dyDescent="0.35">
      <c r="A32" s="51">
        <v>419</v>
      </c>
      <c r="B32" s="19">
        <v>144</v>
      </c>
      <c r="C32" s="19">
        <v>150</v>
      </c>
      <c r="D32" s="19">
        <f>C32-B32</f>
        <v>6</v>
      </c>
      <c r="E32" s="19">
        <v>149</v>
      </c>
      <c r="F32" s="19">
        <v>360</v>
      </c>
      <c r="H32" s="51">
        <v>419</v>
      </c>
      <c r="I32" s="19"/>
      <c r="J32" s="19"/>
      <c r="K32" s="19"/>
      <c r="L32" s="19"/>
      <c r="M32" s="19"/>
      <c r="O32" s="51">
        <v>419</v>
      </c>
      <c r="P32" s="19"/>
      <c r="Q32" s="19"/>
      <c r="R32" s="19"/>
      <c r="S32" s="19"/>
      <c r="T32" s="19"/>
      <c r="V32" s="51">
        <v>419</v>
      </c>
      <c r="W32" s="19"/>
      <c r="X32" s="19"/>
      <c r="Y32" s="19"/>
      <c r="Z32" s="19"/>
      <c r="AA32" s="19"/>
      <c r="AC32" s="51">
        <v>419</v>
      </c>
      <c r="AD32" s="19"/>
      <c r="AE32" s="19"/>
      <c r="AF32" s="19"/>
      <c r="AG32" s="19"/>
      <c r="AH32" s="19"/>
      <c r="AJ32" s="51">
        <v>419</v>
      </c>
      <c r="AK32" s="19"/>
      <c r="AL32" s="19"/>
      <c r="AM32" s="19"/>
      <c r="AN32" s="19"/>
      <c r="AO32" s="19"/>
      <c r="AQ32" s="51">
        <v>419</v>
      </c>
      <c r="AR32" s="19"/>
      <c r="AS32" s="19"/>
      <c r="AT32" s="19"/>
      <c r="AU32" s="25"/>
      <c r="AV32" s="25"/>
      <c r="AX32" s="51">
        <v>419</v>
      </c>
      <c r="AY32" s="19"/>
      <c r="AZ32" s="19"/>
      <c r="BA32" s="19"/>
      <c r="BB32" s="19"/>
      <c r="BC32" s="19"/>
      <c r="BE32" s="51">
        <v>419</v>
      </c>
      <c r="BF32" s="19"/>
      <c r="BG32" s="19"/>
      <c r="BH32" s="19"/>
      <c r="BI32" s="19"/>
      <c r="BJ32" s="19"/>
      <c r="BL32" s="51">
        <v>419</v>
      </c>
      <c r="BM32" s="19"/>
      <c r="BN32" s="19"/>
      <c r="BO32" s="19"/>
      <c r="BP32" s="19"/>
      <c r="BQ32" s="19"/>
      <c r="BS32" s="51">
        <v>419</v>
      </c>
      <c r="BT32" s="19"/>
      <c r="BU32" s="19"/>
      <c r="BV32" s="19"/>
      <c r="BW32" s="19"/>
      <c r="BX32" s="19"/>
      <c r="BZ32" s="51">
        <v>419</v>
      </c>
      <c r="CA32" s="19"/>
      <c r="CB32" s="19"/>
      <c r="CC32" s="19"/>
      <c r="CD32" s="19"/>
      <c r="CE32" s="19"/>
      <c r="CG32" s="51">
        <v>419</v>
      </c>
      <c r="CH32" s="19"/>
      <c r="CI32" s="19"/>
      <c r="CJ32" s="19"/>
      <c r="CK32" s="19"/>
      <c r="CL32" s="19"/>
      <c r="CN32" s="51">
        <v>419</v>
      </c>
      <c r="CO32" s="19">
        <v>377</v>
      </c>
      <c r="CP32" s="19">
        <v>392</v>
      </c>
      <c r="CQ32" s="19">
        <f>CP32-CO32</f>
        <v>15</v>
      </c>
      <c r="CR32" s="19">
        <v>380</v>
      </c>
      <c r="CS32" s="19">
        <v>227</v>
      </c>
      <c r="DW32" s="51">
        <v>419</v>
      </c>
      <c r="DX32" s="19">
        <v>473</v>
      </c>
      <c r="DY32" s="19">
        <v>485</v>
      </c>
      <c r="DZ32" s="19">
        <f>DY32-DX32</f>
        <v>12</v>
      </c>
      <c r="EA32" s="19">
        <v>477</v>
      </c>
      <c r="EB32" s="19">
        <v>225</v>
      </c>
      <c r="ED32" s="51">
        <v>419</v>
      </c>
      <c r="EE32" s="19">
        <v>485</v>
      </c>
      <c r="EF32" s="19">
        <v>502</v>
      </c>
      <c r="EG32" s="19">
        <f>EF32-EE32</f>
        <v>17</v>
      </c>
      <c r="EH32" s="19">
        <v>495</v>
      </c>
      <c r="EI32" s="19">
        <v>156</v>
      </c>
      <c r="EK32" s="51">
        <v>419</v>
      </c>
      <c r="EL32" s="19">
        <v>502</v>
      </c>
      <c r="EM32" s="19">
        <v>513</v>
      </c>
      <c r="EN32" s="19">
        <f>EM32-EL32</f>
        <v>11</v>
      </c>
      <c r="EO32" s="19">
        <v>513</v>
      </c>
      <c r="EP32" s="19">
        <v>240</v>
      </c>
      <c r="ER32" s="51">
        <v>419</v>
      </c>
      <c r="ES32" s="19">
        <v>513</v>
      </c>
      <c r="ET32" s="19">
        <v>525</v>
      </c>
      <c r="EU32" s="19">
        <f>ET32-ES32</f>
        <v>12</v>
      </c>
      <c r="EV32" s="19">
        <v>519</v>
      </c>
      <c r="EW32" s="19">
        <v>125</v>
      </c>
      <c r="EY32" s="51">
        <v>419</v>
      </c>
      <c r="EZ32" s="19">
        <v>525</v>
      </c>
      <c r="FA32" s="19">
        <v>542</v>
      </c>
      <c r="FB32" s="19">
        <f>FA32-EZ32</f>
        <v>17</v>
      </c>
      <c r="FC32" s="19">
        <v>532</v>
      </c>
      <c r="FD32" s="19">
        <v>200</v>
      </c>
      <c r="FF32" s="51">
        <v>419</v>
      </c>
      <c r="FG32" s="19">
        <v>542</v>
      </c>
      <c r="FH32" s="19">
        <v>556</v>
      </c>
      <c r="FI32" s="19">
        <f>FH32-FG32</f>
        <v>14</v>
      </c>
      <c r="FJ32" s="19">
        <v>545</v>
      </c>
      <c r="FK32" s="19">
        <v>315</v>
      </c>
      <c r="FM32" s="51">
        <v>419</v>
      </c>
      <c r="FN32" s="19">
        <v>556</v>
      </c>
      <c r="FO32" s="19">
        <v>574</v>
      </c>
      <c r="FP32" s="19">
        <f>FO32-FN32</f>
        <v>18</v>
      </c>
      <c r="FQ32" s="19">
        <v>565</v>
      </c>
      <c r="FR32" s="19">
        <v>140</v>
      </c>
      <c r="FT32" s="51">
        <v>419</v>
      </c>
      <c r="FU32" s="19">
        <v>574</v>
      </c>
      <c r="FV32" s="19">
        <v>594</v>
      </c>
      <c r="FW32" s="19">
        <f>FV32-FU32</f>
        <v>20</v>
      </c>
      <c r="FX32" s="19">
        <v>569</v>
      </c>
      <c r="FY32" s="19">
        <v>259</v>
      </c>
      <c r="GA32" s="51">
        <v>419</v>
      </c>
      <c r="GB32" s="19">
        <v>594</v>
      </c>
      <c r="GC32" s="19">
        <v>604</v>
      </c>
      <c r="GD32" s="19">
        <f>GC32-GB32</f>
        <v>10</v>
      </c>
      <c r="GE32" s="19">
        <v>604</v>
      </c>
      <c r="GF32" s="19">
        <v>400</v>
      </c>
    </row>
    <row r="33" spans="1:188" x14ac:dyDescent="0.35">
      <c r="A33" s="52"/>
      <c r="B33" s="19"/>
      <c r="C33" s="19"/>
      <c r="D33" s="19"/>
      <c r="E33" s="19"/>
      <c r="F33" s="19"/>
      <c r="H33" s="52"/>
      <c r="I33" s="19">
        <v>155</v>
      </c>
      <c r="J33" s="19">
        <v>165</v>
      </c>
      <c r="K33" s="19">
        <f>J33-I33</f>
        <v>10</v>
      </c>
      <c r="L33" s="19">
        <v>159</v>
      </c>
      <c r="M33" s="19">
        <v>120</v>
      </c>
      <c r="O33" s="52"/>
      <c r="P33" s="19">
        <v>175</v>
      </c>
      <c r="Q33" s="19">
        <v>185</v>
      </c>
      <c r="R33" s="19">
        <f>Q33-P33</f>
        <v>10</v>
      </c>
      <c r="S33" s="19">
        <v>179</v>
      </c>
      <c r="T33" s="19">
        <v>250</v>
      </c>
      <c r="V33" s="52"/>
      <c r="W33" s="19">
        <v>195</v>
      </c>
      <c r="X33" s="19">
        <v>205</v>
      </c>
      <c r="Y33" s="19">
        <f>X33-W33</f>
        <v>10</v>
      </c>
      <c r="Z33" s="19">
        <v>199</v>
      </c>
      <c r="AA33" s="19">
        <v>300</v>
      </c>
      <c r="AC33" s="52"/>
      <c r="AD33" s="19"/>
      <c r="AE33" s="19"/>
      <c r="AF33" s="19"/>
      <c r="AG33" s="19"/>
      <c r="AH33" s="19"/>
      <c r="AJ33" s="52"/>
      <c r="AK33" s="19">
        <v>237</v>
      </c>
      <c r="AL33" s="19">
        <v>247</v>
      </c>
      <c r="AM33" s="19">
        <f>AL33-AK33</f>
        <v>10</v>
      </c>
      <c r="AN33" s="19">
        <v>242</v>
      </c>
      <c r="AO33" s="19">
        <v>323</v>
      </c>
      <c r="AQ33" s="52"/>
      <c r="AR33" s="19">
        <v>258</v>
      </c>
      <c r="AS33" s="19">
        <v>268</v>
      </c>
      <c r="AT33" s="19">
        <f>AS33-AR33</f>
        <v>10</v>
      </c>
      <c r="AU33" s="25">
        <v>261</v>
      </c>
      <c r="AV33" s="25">
        <v>224</v>
      </c>
      <c r="AX33" s="52"/>
      <c r="AY33" s="19"/>
      <c r="AZ33" s="19"/>
      <c r="BA33" s="19"/>
      <c r="BB33" s="19"/>
      <c r="BC33" s="19"/>
      <c r="BE33" s="52"/>
      <c r="BF33" s="19">
        <v>294</v>
      </c>
      <c r="BG33" s="19">
        <v>305</v>
      </c>
      <c r="BH33" s="19">
        <f>BG33-BF33</f>
        <v>11</v>
      </c>
      <c r="BI33" s="19">
        <v>299</v>
      </c>
      <c r="BJ33" s="19">
        <v>247</v>
      </c>
      <c r="BL33" s="52"/>
      <c r="BM33" s="19">
        <v>315</v>
      </c>
      <c r="BN33" s="19">
        <v>323</v>
      </c>
      <c r="BO33" s="19">
        <f>BN33-BM33</f>
        <v>8</v>
      </c>
      <c r="BP33" s="19">
        <v>317</v>
      </c>
      <c r="BQ33" s="19">
        <v>210</v>
      </c>
      <c r="BS33" s="52"/>
      <c r="BT33" s="19"/>
      <c r="BU33" s="19"/>
      <c r="BV33" s="19"/>
      <c r="BW33" s="19"/>
      <c r="BX33" s="19"/>
      <c r="BZ33" s="52"/>
      <c r="CA33" s="19"/>
      <c r="CB33" s="19"/>
      <c r="CC33" s="19"/>
      <c r="CD33" s="19"/>
      <c r="CE33" s="19"/>
      <c r="CG33" s="52"/>
      <c r="CH33" s="19"/>
      <c r="CI33" s="19"/>
      <c r="CJ33" s="19"/>
      <c r="CK33" s="19"/>
      <c r="CL33" s="19"/>
      <c r="CN33" s="52"/>
      <c r="CO33" s="19"/>
      <c r="CP33" s="19"/>
      <c r="CQ33" s="19"/>
      <c r="CR33" s="19">
        <v>387</v>
      </c>
      <c r="CS33" s="19">
        <v>190</v>
      </c>
      <c r="DW33" s="52"/>
      <c r="DX33" s="19"/>
      <c r="DY33" s="19"/>
      <c r="DZ33" s="19"/>
      <c r="EA33" s="19">
        <v>484</v>
      </c>
      <c r="EB33" s="19">
        <v>127</v>
      </c>
      <c r="ED33" s="52"/>
      <c r="EE33" s="19"/>
      <c r="EF33" s="19"/>
      <c r="EG33" s="19"/>
      <c r="EH33" s="19"/>
      <c r="EI33" s="19"/>
      <c r="EK33" s="52"/>
      <c r="EL33" s="19"/>
      <c r="EM33" s="19"/>
      <c r="EN33" s="19"/>
      <c r="EO33" s="19"/>
      <c r="EP33" s="19"/>
      <c r="ER33" s="52"/>
      <c r="ES33" s="19"/>
      <c r="ET33" s="19"/>
      <c r="EU33" s="19"/>
      <c r="EV33" s="19"/>
      <c r="EW33" s="19"/>
      <c r="EY33" s="52"/>
      <c r="EZ33" s="19"/>
      <c r="FA33" s="19"/>
      <c r="FB33" s="19"/>
      <c r="FC33" s="19"/>
      <c r="FD33" s="19"/>
      <c r="FF33" s="52"/>
      <c r="FG33" s="19"/>
      <c r="FH33" s="19"/>
      <c r="FI33" s="19"/>
      <c r="FJ33" s="19">
        <v>556</v>
      </c>
      <c r="FK33" s="19">
        <v>262</v>
      </c>
      <c r="FM33" s="52"/>
      <c r="FN33" s="19"/>
      <c r="FO33" s="19"/>
      <c r="FP33" s="19"/>
      <c r="FQ33" s="19">
        <v>575</v>
      </c>
      <c r="FR33" s="19">
        <v>226</v>
      </c>
      <c r="FT33" s="52"/>
      <c r="FU33" s="19"/>
      <c r="FV33" s="19"/>
      <c r="FW33" s="19"/>
      <c r="FX33" s="19">
        <v>592</v>
      </c>
      <c r="FY33" s="19">
        <v>200</v>
      </c>
      <c r="GA33" s="52"/>
      <c r="GB33" s="19"/>
      <c r="GC33" s="19"/>
      <c r="GD33" s="19"/>
      <c r="GE33" s="19"/>
      <c r="GF33" s="19"/>
    </row>
    <row r="34" spans="1:188" x14ac:dyDescent="0.35">
      <c r="A34" s="51">
        <v>420</v>
      </c>
      <c r="B34" s="19">
        <v>155</v>
      </c>
      <c r="C34" s="19">
        <v>161</v>
      </c>
      <c r="D34" s="19">
        <f>C34-B34</f>
        <v>6</v>
      </c>
      <c r="E34" s="19">
        <v>159</v>
      </c>
      <c r="F34" s="19">
        <v>268</v>
      </c>
      <c r="H34" s="51">
        <v>420</v>
      </c>
      <c r="I34" s="19">
        <v>161</v>
      </c>
      <c r="J34" s="19">
        <v>178</v>
      </c>
      <c r="K34" s="19">
        <f>J34-I34</f>
        <v>17</v>
      </c>
      <c r="L34" s="19">
        <v>171</v>
      </c>
      <c r="M34" s="19">
        <v>300</v>
      </c>
      <c r="O34" s="51">
        <v>420</v>
      </c>
      <c r="P34" s="19">
        <v>178</v>
      </c>
      <c r="Q34" s="19">
        <v>198</v>
      </c>
      <c r="R34" s="19">
        <f>Q34-P34</f>
        <v>20</v>
      </c>
      <c r="S34" s="19">
        <v>182</v>
      </c>
      <c r="T34" s="19">
        <v>197</v>
      </c>
      <c r="V34" s="51">
        <v>420</v>
      </c>
      <c r="W34" s="19">
        <v>198</v>
      </c>
      <c r="X34" s="19">
        <v>218</v>
      </c>
      <c r="Y34" s="19">
        <f>X34-W34</f>
        <v>20</v>
      </c>
      <c r="Z34" s="19">
        <v>202</v>
      </c>
      <c r="AA34" s="19">
        <v>280</v>
      </c>
      <c r="AC34" s="51">
        <v>420</v>
      </c>
      <c r="AD34" s="19">
        <v>218</v>
      </c>
      <c r="AE34" s="19">
        <v>239</v>
      </c>
      <c r="AF34" s="19">
        <f>AE34-AD34</f>
        <v>21</v>
      </c>
      <c r="AG34" s="19">
        <v>223</v>
      </c>
      <c r="AH34" s="19">
        <v>184</v>
      </c>
      <c r="AJ34" s="51">
        <v>420</v>
      </c>
      <c r="AK34" s="19">
        <v>239</v>
      </c>
      <c r="AL34" s="19">
        <v>256</v>
      </c>
      <c r="AM34" s="19">
        <f>AL34-AK34</f>
        <v>17</v>
      </c>
      <c r="AN34" s="19">
        <v>243</v>
      </c>
      <c r="AO34" s="19">
        <v>197</v>
      </c>
      <c r="AQ34" s="51">
        <v>420</v>
      </c>
      <c r="AR34" s="19"/>
      <c r="AS34" s="19"/>
      <c r="AT34" s="19"/>
      <c r="AU34" s="19"/>
      <c r="AV34" s="19"/>
      <c r="AX34" s="51">
        <v>420</v>
      </c>
      <c r="AY34" s="19"/>
      <c r="AZ34" s="19"/>
      <c r="BA34" s="19"/>
      <c r="BB34" s="19"/>
      <c r="BC34" s="19"/>
      <c r="BE34" s="51">
        <v>420</v>
      </c>
      <c r="BF34" s="19"/>
      <c r="BG34" s="19"/>
      <c r="BH34" s="19"/>
      <c r="BI34" s="19"/>
      <c r="BJ34" s="19"/>
      <c r="BL34" s="51">
        <v>420</v>
      </c>
      <c r="BM34" s="19"/>
      <c r="BN34" s="19"/>
      <c r="BO34" s="19"/>
      <c r="BP34" s="19"/>
      <c r="BQ34" s="19"/>
      <c r="BS34" s="51">
        <v>420</v>
      </c>
      <c r="BT34" s="19">
        <v>331</v>
      </c>
      <c r="BU34" s="19">
        <v>344</v>
      </c>
      <c r="BV34" s="19">
        <f>BU34-BT34</f>
        <v>13</v>
      </c>
      <c r="BW34" s="19">
        <v>335</v>
      </c>
      <c r="BX34" s="19">
        <v>384</v>
      </c>
      <c r="BZ34" s="51">
        <v>420</v>
      </c>
      <c r="CA34" s="19">
        <v>344</v>
      </c>
      <c r="CB34" s="19">
        <v>353</v>
      </c>
      <c r="CC34" s="19">
        <f>CB34-CA34</f>
        <v>9</v>
      </c>
      <c r="CD34" s="19">
        <v>347</v>
      </c>
      <c r="CE34" s="19">
        <v>220</v>
      </c>
      <c r="CG34" s="51">
        <v>420</v>
      </c>
      <c r="CH34" s="19"/>
      <c r="CI34" s="19"/>
      <c r="CJ34" s="19"/>
      <c r="CK34" s="19"/>
      <c r="CL34" s="19"/>
      <c r="CN34" s="51">
        <v>420</v>
      </c>
      <c r="CO34" s="19">
        <v>382</v>
      </c>
      <c r="CP34" s="19">
        <v>398</v>
      </c>
      <c r="CQ34" s="19">
        <f>CP34-CO34</f>
        <v>16</v>
      </c>
      <c r="CR34" s="19">
        <v>385</v>
      </c>
      <c r="CS34" s="19">
        <v>163</v>
      </c>
      <c r="DW34" s="51">
        <v>420</v>
      </c>
      <c r="DX34" s="19"/>
      <c r="DY34" s="19"/>
      <c r="DZ34" s="19"/>
      <c r="EA34" s="19"/>
      <c r="EB34" s="19"/>
      <c r="ED34" s="51">
        <v>420</v>
      </c>
      <c r="EE34" s="19"/>
      <c r="EF34" s="19"/>
      <c r="EG34" s="19"/>
      <c r="EH34" s="19"/>
      <c r="EI34" s="19"/>
      <c r="EK34" s="51">
        <v>420</v>
      </c>
      <c r="EL34" s="19">
        <v>502</v>
      </c>
      <c r="EM34" s="19">
        <v>511</v>
      </c>
      <c r="EN34" s="19">
        <f>EM34-EL34</f>
        <v>9</v>
      </c>
      <c r="EO34" s="19">
        <v>506</v>
      </c>
      <c r="EP34" s="19">
        <v>180</v>
      </c>
      <c r="ER34" s="51">
        <v>420</v>
      </c>
      <c r="ES34" s="19">
        <v>511</v>
      </c>
      <c r="ET34" s="19">
        <v>515</v>
      </c>
      <c r="EU34" s="19">
        <f>ET34-ES34</f>
        <v>4</v>
      </c>
      <c r="EV34" s="19">
        <v>577</v>
      </c>
      <c r="EW34" s="19">
        <v>100</v>
      </c>
      <c r="EY34" s="51">
        <v>420</v>
      </c>
      <c r="EZ34" s="19"/>
      <c r="FA34" s="19"/>
      <c r="FB34" s="19"/>
      <c r="FC34" s="19"/>
      <c r="FD34" s="19"/>
      <c r="FF34" s="51">
        <v>420</v>
      </c>
      <c r="FG34" s="19">
        <v>530</v>
      </c>
      <c r="FH34" s="19">
        <v>540</v>
      </c>
      <c r="FI34" s="19">
        <f>FH34-FG34</f>
        <v>10</v>
      </c>
      <c r="FJ34" s="19">
        <v>535</v>
      </c>
      <c r="FK34" s="19">
        <v>220</v>
      </c>
      <c r="FM34" s="51">
        <v>420</v>
      </c>
      <c r="FN34" s="19"/>
      <c r="FO34" s="19"/>
      <c r="FP34" s="19"/>
      <c r="FQ34" s="19"/>
      <c r="FR34" s="19"/>
      <c r="FT34" s="51">
        <v>420</v>
      </c>
      <c r="FU34" s="19"/>
      <c r="FV34" s="19"/>
      <c r="FW34" s="19"/>
      <c r="FX34" s="19"/>
      <c r="FY34" s="19"/>
      <c r="GA34" s="51">
        <v>420</v>
      </c>
      <c r="GB34" s="19"/>
      <c r="GC34" s="19"/>
      <c r="GD34" s="19"/>
      <c r="GE34" s="19"/>
      <c r="GF34" s="19"/>
    </row>
    <row r="35" spans="1:188" x14ac:dyDescent="0.35">
      <c r="A35" s="52"/>
      <c r="B35" s="19"/>
      <c r="C35" s="19"/>
      <c r="D35" s="19"/>
      <c r="E35" s="19"/>
      <c r="F35" s="19"/>
      <c r="H35" s="52"/>
      <c r="I35" s="19"/>
      <c r="J35" s="19"/>
      <c r="K35" s="19"/>
      <c r="L35" s="19"/>
      <c r="M35" s="19"/>
      <c r="O35" s="52"/>
      <c r="P35" s="19"/>
      <c r="Q35" s="19"/>
      <c r="R35" s="19"/>
      <c r="S35" s="19">
        <v>192</v>
      </c>
      <c r="T35" s="19">
        <v>185</v>
      </c>
      <c r="V35" s="52"/>
      <c r="W35" s="19"/>
      <c r="X35" s="19"/>
      <c r="Y35" s="19"/>
      <c r="Z35" s="19">
        <v>212</v>
      </c>
      <c r="AA35" s="19">
        <v>212</v>
      </c>
      <c r="AC35" s="52"/>
      <c r="AD35" s="19"/>
      <c r="AE35" s="19"/>
      <c r="AF35" s="19"/>
      <c r="AG35" s="19">
        <v>232</v>
      </c>
      <c r="AH35" s="19">
        <v>230</v>
      </c>
      <c r="AJ35" s="52"/>
      <c r="AK35" s="19"/>
      <c r="AL35" s="19"/>
      <c r="AM35" s="19"/>
      <c r="AN35" s="19">
        <v>251</v>
      </c>
      <c r="AO35" s="19">
        <v>217</v>
      </c>
      <c r="AQ35" s="52"/>
      <c r="AR35" s="19">
        <v>266</v>
      </c>
      <c r="AS35" s="19">
        <v>275</v>
      </c>
      <c r="AT35" s="19">
        <f>AS35-AR35</f>
        <v>9</v>
      </c>
      <c r="AU35" s="19">
        <v>269</v>
      </c>
      <c r="AV35" s="19">
        <v>293</v>
      </c>
      <c r="AX35" s="52"/>
      <c r="AY35" s="19">
        <v>286</v>
      </c>
      <c r="AZ35" s="19">
        <v>292</v>
      </c>
      <c r="BA35" s="19">
        <f>AZ35-AY35</f>
        <v>6</v>
      </c>
      <c r="BB35" s="19">
        <v>290</v>
      </c>
      <c r="BC35" s="19">
        <v>230</v>
      </c>
      <c r="BE35" s="52"/>
      <c r="BF35" s="19">
        <v>302</v>
      </c>
      <c r="BG35" s="19">
        <v>311</v>
      </c>
      <c r="BH35" s="19">
        <f>BG35-BF35</f>
        <v>9</v>
      </c>
      <c r="BI35" s="19">
        <v>306</v>
      </c>
      <c r="BJ35" s="19">
        <v>250</v>
      </c>
      <c r="BL35" s="52"/>
      <c r="BM35" s="19">
        <v>322</v>
      </c>
      <c r="BN35" s="19">
        <v>331</v>
      </c>
      <c r="BO35" s="19">
        <f>BN35-BM35</f>
        <v>9</v>
      </c>
      <c r="BP35" s="19">
        <v>324</v>
      </c>
      <c r="BQ35" s="19">
        <v>187</v>
      </c>
      <c r="BS35" s="52"/>
      <c r="BT35" s="19"/>
      <c r="BU35" s="19"/>
      <c r="BV35" s="19"/>
      <c r="BW35" s="19">
        <v>339</v>
      </c>
      <c r="BX35" s="19">
        <v>120</v>
      </c>
      <c r="BZ35" s="52"/>
      <c r="CA35" s="19"/>
      <c r="CB35" s="19"/>
      <c r="CC35" s="19"/>
      <c r="CD35" s="19"/>
      <c r="CE35" s="19"/>
      <c r="CG35" s="52"/>
      <c r="CH35" s="19"/>
      <c r="CI35" s="19"/>
      <c r="CJ35" s="19"/>
      <c r="CK35" s="19"/>
      <c r="CL35" s="19"/>
      <c r="CN35" s="52"/>
      <c r="CO35" s="19"/>
      <c r="CP35" s="19"/>
      <c r="CQ35" s="19"/>
      <c r="CR35" s="19">
        <v>392</v>
      </c>
      <c r="CS35" s="19">
        <v>220</v>
      </c>
      <c r="DW35" s="52"/>
      <c r="DX35" s="19"/>
      <c r="DY35" s="19"/>
      <c r="DZ35" s="19"/>
      <c r="EA35" s="19"/>
      <c r="EB35" s="19"/>
      <c r="ED35" s="52"/>
      <c r="EE35" s="19"/>
      <c r="EF35" s="19"/>
      <c r="EG35" s="19"/>
      <c r="EH35" s="19"/>
      <c r="EI35" s="19"/>
      <c r="EK35" s="52"/>
      <c r="EL35" s="19"/>
      <c r="EM35" s="19"/>
      <c r="EN35" s="19"/>
      <c r="EO35" s="19"/>
      <c r="EP35" s="19"/>
      <c r="ER35" s="52"/>
      <c r="ES35" s="19"/>
      <c r="ET35" s="19"/>
      <c r="EU35" s="19"/>
      <c r="EV35" s="19"/>
      <c r="EW35" s="19"/>
      <c r="EY35" s="52"/>
      <c r="EZ35" s="19"/>
      <c r="FA35" s="19"/>
      <c r="FB35" s="19"/>
      <c r="FC35" s="19"/>
      <c r="FD35" s="19"/>
      <c r="FF35" s="52"/>
      <c r="FG35" s="19"/>
      <c r="FH35" s="19"/>
      <c r="FI35" s="19"/>
      <c r="FJ35" s="19"/>
      <c r="FK35" s="19"/>
      <c r="FM35" s="52"/>
      <c r="FN35" s="19"/>
      <c r="FO35" s="19"/>
      <c r="FP35" s="19"/>
      <c r="FQ35" s="19"/>
      <c r="FR35" s="19"/>
      <c r="FT35" s="52"/>
      <c r="FU35" s="19"/>
      <c r="FV35" s="19"/>
      <c r="FW35" s="19"/>
      <c r="FX35" s="19"/>
      <c r="FY35" s="19"/>
      <c r="GA35" s="52"/>
      <c r="GB35" s="19"/>
      <c r="GC35" s="19"/>
      <c r="GD35" s="19"/>
      <c r="GE35" s="19"/>
      <c r="GF35" s="19"/>
    </row>
    <row r="36" spans="1:188" x14ac:dyDescent="0.35">
      <c r="A36" s="51">
        <v>421</v>
      </c>
      <c r="B36" s="19"/>
      <c r="C36" s="19"/>
      <c r="D36" s="19"/>
      <c r="E36" s="23"/>
      <c r="F36" s="23"/>
      <c r="G36" s="26"/>
      <c r="H36" s="51">
        <v>421</v>
      </c>
      <c r="I36" s="19"/>
      <c r="J36" s="19"/>
      <c r="K36" s="19"/>
      <c r="L36" s="23"/>
      <c r="M36" s="23"/>
      <c r="N36" s="26"/>
      <c r="O36" s="51">
        <v>421</v>
      </c>
      <c r="P36" s="19"/>
      <c r="Q36" s="19"/>
      <c r="R36" s="19"/>
      <c r="S36" s="23"/>
      <c r="T36" s="23"/>
      <c r="U36" s="26"/>
      <c r="V36" s="51">
        <v>421</v>
      </c>
      <c r="W36" s="19"/>
      <c r="X36" s="19"/>
      <c r="Y36" s="19"/>
      <c r="Z36" s="23"/>
      <c r="AA36" s="23"/>
      <c r="AB36" s="26"/>
      <c r="AC36" s="51">
        <v>421</v>
      </c>
      <c r="AD36" s="19"/>
      <c r="AE36" s="19"/>
      <c r="AF36" s="19"/>
      <c r="AG36" s="23"/>
      <c r="AH36" s="23"/>
      <c r="AI36" s="26"/>
      <c r="AJ36" s="51">
        <v>421</v>
      </c>
      <c r="AK36" s="19"/>
      <c r="AL36" s="19"/>
      <c r="AM36" s="19"/>
      <c r="AN36" s="23"/>
      <c r="AO36" s="23"/>
      <c r="AQ36" s="51">
        <v>421</v>
      </c>
      <c r="AR36" s="19"/>
      <c r="AS36" s="19"/>
      <c r="AT36" s="19"/>
      <c r="AU36" s="23"/>
      <c r="AV36" s="23"/>
      <c r="AX36" s="51">
        <v>421</v>
      </c>
      <c r="AY36" s="19"/>
      <c r="AZ36" s="19"/>
      <c r="BA36" s="19"/>
      <c r="BB36" s="23"/>
      <c r="BC36" s="23"/>
      <c r="BD36" s="26"/>
      <c r="BE36" s="51">
        <v>421</v>
      </c>
      <c r="BF36" s="19"/>
      <c r="BG36" s="19"/>
      <c r="BH36" s="19"/>
      <c r="BI36" s="23"/>
      <c r="BJ36" s="23"/>
      <c r="BK36" s="26"/>
      <c r="BL36" s="51">
        <v>421</v>
      </c>
      <c r="BM36" s="19"/>
      <c r="BN36" s="19"/>
      <c r="BO36" s="19"/>
      <c r="BP36" s="23"/>
      <c r="BQ36" s="23"/>
      <c r="BS36" s="51">
        <v>421</v>
      </c>
      <c r="BT36" s="19"/>
      <c r="BU36" s="19"/>
      <c r="BV36" s="19"/>
      <c r="BW36" s="23"/>
      <c r="BX36" s="23"/>
      <c r="BZ36" s="51">
        <v>421</v>
      </c>
      <c r="CA36" s="19"/>
      <c r="CB36" s="19"/>
      <c r="CC36" s="19"/>
      <c r="CD36" s="23"/>
      <c r="CE36" s="23"/>
      <c r="CG36" s="51">
        <v>421</v>
      </c>
      <c r="CH36" s="19"/>
      <c r="CI36" s="19"/>
      <c r="CJ36" s="19"/>
      <c r="CK36" s="19"/>
      <c r="CL36" s="19"/>
      <c r="CN36" s="51">
        <v>421</v>
      </c>
      <c r="CO36" s="19">
        <v>380</v>
      </c>
      <c r="CP36" s="19">
        <v>396</v>
      </c>
      <c r="CQ36" s="19">
        <f>CP36-CO36</f>
        <v>16</v>
      </c>
      <c r="CR36" s="19">
        <v>383</v>
      </c>
      <c r="CS36" s="19">
        <v>224</v>
      </c>
      <c r="DW36" s="51">
        <v>421</v>
      </c>
      <c r="DX36" s="19"/>
      <c r="DY36" s="19"/>
      <c r="DZ36" s="19"/>
      <c r="EA36" s="23"/>
      <c r="EB36" s="23"/>
      <c r="ED36" s="51">
        <v>421</v>
      </c>
      <c r="EE36" s="19"/>
      <c r="EF36" s="19"/>
      <c r="EG36" s="19"/>
      <c r="EH36" s="23"/>
      <c r="EI36" s="23"/>
      <c r="EK36" s="51">
        <v>421</v>
      </c>
      <c r="EL36" s="19">
        <v>506</v>
      </c>
      <c r="EM36" s="19">
        <v>514</v>
      </c>
      <c r="EN36" s="19">
        <f>EM36-EL36</f>
        <v>8</v>
      </c>
      <c r="EO36" s="23">
        <v>510</v>
      </c>
      <c r="EP36" s="23">
        <v>240</v>
      </c>
      <c r="ER36" s="51">
        <v>421</v>
      </c>
      <c r="ES36" s="19">
        <v>514</v>
      </c>
      <c r="ET36" s="19">
        <v>516</v>
      </c>
      <c r="EU36" s="19">
        <f>ET36-ES36</f>
        <v>2</v>
      </c>
      <c r="EV36" s="23">
        <v>516</v>
      </c>
      <c r="EW36" s="23">
        <v>179</v>
      </c>
      <c r="EY36" s="51">
        <v>421</v>
      </c>
      <c r="EZ36" s="19"/>
      <c r="FA36" s="19"/>
      <c r="FB36" s="19"/>
      <c r="FC36" s="23"/>
      <c r="FD36" s="23"/>
      <c r="FF36" s="51">
        <v>421</v>
      </c>
      <c r="FG36" s="19">
        <v>530</v>
      </c>
      <c r="FH36" s="19">
        <v>540</v>
      </c>
      <c r="FI36" s="19">
        <f>FH36-FG36</f>
        <v>10</v>
      </c>
      <c r="FJ36" s="23">
        <v>435</v>
      </c>
      <c r="FK36" s="23">
        <v>237</v>
      </c>
      <c r="FM36" s="51">
        <v>421</v>
      </c>
      <c r="FN36" s="19"/>
      <c r="FO36" s="19"/>
      <c r="FP36" s="19"/>
      <c r="FQ36" s="23"/>
      <c r="FR36" s="23"/>
      <c r="FT36" s="51">
        <v>421</v>
      </c>
      <c r="FU36" s="19"/>
      <c r="FV36" s="19"/>
      <c r="FW36" s="19"/>
      <c r="FX36" s="23"/>
      <c r="FY36" s="23"/>
      <c r="GA36" s="51">
        <v>421</v>
      </c>
      <c r="GB36" s="19"/>
      <c r="GC36" s="19"/>
      <c r="GD36" s="19"/>
      <c r="GE36" s="23"/>
      <c r="GF36" s="23"/>
    </row>
    <row r="37" spans="1:188" x14ac:dyDescent="0.35">
      <c r="A37" s="52"/>
      <c r="B37" s="19"/>
      <c r="C37" s="19"/>
      <c r="D37" s="19"/>
      <c r="E37" s="23"/>
      <c r="F37" s="23"/>
      <c r="G37" s="26"/>
      <c r="H37" s="52"/>
      <c r="I37" s="19">
        <v>169</v>
      </c>
      <c r="J37" s="19">
        <v>179</v>
      </c>
      <c r="K37" s="19">
        <f>J37-I37</f>
        <v>10</v>
      </c>
      <c r="L37" s="23">
        <v>172</v>
      </c>
      <c r="M37" s="23">
        <v>154</v>
      </c>
      <c r="N37" s="26"/>
      <c r="O37" s="52"/>
      <c r="P37" s="19"/>
      <c r="Q37" s="19"/>
      <c r="R37" s="19"/>
      <c r="S37" s="23"/>
      <c r="T37" s="23"/>
      <c r="U37" s="26"/>
      <c r="V37" s="52"/>
      <c r="W37" s="19">
        <v>209</v>
      </c>
      <c r="X37" s="19">
        <v>220</v>
      </c>
      <c r="Y37" s="19">
        <f>X37-W37</f>
        <v>11</v>
      </c>
      <c r="Z37" s="23">
        <v>213</v>
      </c>
      <c r="AA37" s="23">
        <v>240</v>
      </c>
      <c r="AB37" s="26"/>
      <c r="AC37" s="52"/>
      <c r="AD37" s="19"/>
      <c r="AE37" s="19"/>
      <c r="AF37" s="19"/>
      <c r="AG37" s="23"/>
      <c r="AH37" s="23"/>
      <c r="AI37" s="26"/>
      <c r="AJ37" s="52"/>
      <c r="AK37" s="19">
        <v>250</v>
      </c>
      <c r="AL37" s="19">
        <v>261</v>
      </c>
      <c r="AM37" s="19">
        <f>AL37-AK37</f>
        <v>11</v>
      </c>
      <c r="AN37" s="23">
        <v>255</v>
      </c>
      <c r="AO37" s="23">
        <v>301</v>
      </c>
      <c r="AQ37" s="52"/>
      <c r="AR37" s="19">
        <v>270</v>
      </c>
      <c r="AS37" s="19">
        <v>278</v>
      </c>
      <c r="AT37" s="19">
        <f>AS37-AR37</f>
        <v>8</v>
      </c>
      <c r="AU37" s="23">
        <v>272</v>
      </c>
      <c r="AV37" s="23">
        <v>204</v>
      </c>
      <c r="AX37" s="52"/>
      <c r="AY37" s="19"/>
      <c r="AZ37" s="19"/>
      <c r="BA37" s="19"/>
      <c r="BB37" s="23"/>
      <c r="BC37" s="23"/>
      <c r="BD37" s="26"/>
      <c r="BE37" s="52"/>
      <c r="BF37" s="19">
        <v>306</v>
      </c>
      <c r="BG37" s="19">
        <v>316</v>
      </c>
      <c r="BH37" s="19">
        <f>BG37-BF37</f>
        <v>10</v>
      </c>
      <c r="BI37" s="23">
        <v>311</v>
      </c>
      <c r="BJ37" s="23">
        <v>230</v>
      </c>
      <c r="BK37" s="26"/>
      <c r="BL37" s="52"/>
      <c r="BM37" s="19">
        <v>325</v>
      </c>
      <c r="BN37" s="19">
        <v>335</v>
      </c>
      <c r="BO37" s="19">
        <f>BN37-BM37</f>
        <v>10</v>
      </c>
      <c r="BP37" s="23">
        <v>330</v>
      </c>
      <c r="BQ37" s="23">
        <v>244</v>
      </c>
      <c r="BS37" s="52"/>
      <c r="BT37" s="19"/>
      <c r="BU37" s="19"/>
      <c r="BV37" s="19"/>
      <c r="BW37" s="23"/>
      <c r="BX37" s="23"/>
      <c r="BZ37" s="52"/>
      <c r="CA37" s="19"/>
      <c r="CB37" s="19"/>
      <c r="CC37" s="19"/>
      <c r="CD37" s="23"/>
      <c r="CE37" s="23"/>
      <c r="CG37" s="52"/>
      <c r="CH37" s="19"/>
      <c r="CI37" s="19"/>
      <c r="CJ37" s="19"/>
      <c r="CK37" s="19"/>
      <c r="CL37" s="19"/>
      <c r="CN37" s="52"/>
      <c r="CO37" s="19"/>
      <c r="CP37" s="19"/>
      <c r="CQ37" s="19"/>
      <c r="CR37" s="19">
        <v>390</v>
      </c>
      <c r="CS37" s="19">
        <v>210</v>
      </c>
      <c r="DW37" s="52"/>
      <c r="DX37" s="19"/>
      <c r="DY37" s="19"/>
      <c r="DZ37" s="19"/>
      <c r="EA37" s="23"/>
      <c r="EB37" s="23"/>
      <c r="ED37" s="52"/>
      <c r="EE37" s="19"/>
      <c r="EF37" s="19"/>
      <c r="EG37" s="19"/>
      <c r="EH37" s="23"/>
      <c r="EI37" s="23"/>
      <c r="EK37" s="52"/>
      <c r="EL37" s="19"/>
      <c r="EM37" s="19"/>
      <c r="EN37" s="19"/>
      <c r="EO37" s="23"/>
      <c r="EP37" s="23"/>
      <c r="ER37" s="52"/>
      <c r="ES37" s="19"/>
      <c r="ET37" s="19"/>
      <c r="EU37" s="19"/>
      <c r="EV37" s="23"/>
      <c r="EW37" s="23"/>
      <c r="EY37" s="52"/>
      <c r="EZ37" s="19"/>
      <c r="FA37" s="19"/>
      <c r="FB37" s="19"/>
      <c r="FC37" s="23"/>
      <c r="FD37" s="23"/>
      <c r="FF37" s="52"/>
      <c r="FG37" s="19"/>
      <c r="FH37" s="19"/>
      <c r="FI37" s="19"/>
      <c r="FJ37" s="23"/>
      <c r="FK37" s="23"/>
      <c r="FM37" s="52"/>
      <c r="FN37" s="19"/>
      <c r="FO37" s="19"/>
      <c r="FP37" s="19"/>
      <c r="FQ37" s="23"/>
      <c r="FR37" s="23"/>
      <c r="FT37" s="52"/>
      <c r="FU37" s="19"/>
      <c r="FV37" s="19"/>
      <c r="FW37" s="19"/>
      <c r="FX37" s="23"/>
      <c r="FY37" s="23"/>
      <c r="GA37" s="52"/>
      <c r="GB37" s="19"/>
      <c r="GC37" s="19"/>
      <c r="GD37" s="19"/>
      <c r="GE37" s="23"/>
      <c r="GF37" s="23"/>
    </row>
    <row r="38" spans="1:188" x14ac:dyDescent="0.35">
      <c r="A38" s="51">
        <v>424</v>
      </c>
      <c r="B38" s="19"/>
      <c r="C38" s="19"/>
      <c r="D38" s="19"/>
      <c r="E38" s="19"/>
      <c r="F38" s="19"/>
      <c r="H38" s="51">
        <v>424</v>
      </c>
      <c r="I38" s="19"/>
      <c r="J38" s="19"/>
      <c r="K38" s="19"/>
      <c r="L38" s="19"/>
      <c r="M38" s="19"/>
      <c r="O38" s="51">
        <v>424</v>
      </c>
      <c r="P38" s="19">
        <v>261</v>
      </c>
      <c r="Q38" s="19">
        <v>271</v>
      </c>
      <c r="R38" s="19">
        <f>Q38-P38</f>
        <v>10</v>
      </c>
      <c r="S38" s="19">
        <v>265</v>
      </c>
      <c r="T38" s="19">
        <v>300</v>
      </c>
      <c r="V38" s="51">
        <v>424</v>
      </c>
      <c r="W38" s="19"/>
      <c r="X38" s="19"/>
      <c r="Y38" s="19"/>
      <c r="Z38" s="19"/>
      <c r="AA38" s="19"/>
      <c r="AC38" s="51">
        <v>424</v>
      </c>
      <c r="AD38" s="19"/>
      <c r="AE38" s="19"/>
      <c r="AF38" s="19"/>
      <c r="AG38" s="19"/>
      <c r="AH38" s="19"/>
      <c r="AJ38" s="51">
        <v>424</v>
      </c>
      <c r="AK38" s="19"/>
      <c r="AL38" s="19"/>
      <c r="AM38" s="19"/>
      <c r="AN38" s="19"/>
      <c r="AO38" s="19"/>
      <c r="AQ38" s="51">
        <v>424</v>
      </c>
      <c r="AR38" s="19"/>
      <c r="AS38" s="19"/>
      <c r="AT38" s="19"/>
      <c r="AU38" s="19"/>
      <c r="AV38" s="19"/>
      <c r="AX38" s="51">
        <v>424</v>
      </c>
      <c r="AY38" s="19"/>
      <c r="AZ38" s="19"/>
      <c r="BA38" s="19"/>
      <c r="BB38" s="19"/>
      <c r="BC38" s="19"/>
      <c r="BE38" s="51">
        <v>424</v>
      </c>
      <c r="BF38" s="19"/>
      <c r="BG38" s="19"/>
      <c r="BH38" s="19"/>
      <c r="BI38" s="19"/>
      <c r="BJ38" s="19"/>
      <c r="BL38" s="51">
        <v>424</v>
      </c>
      <c r="BM38" s="19"/>
      <c r="BN38" s="19"/>
      <c r="BO38" s="19"/>
      <c r="BP38" s="19"/>
      <c r="BQ38" s="19"/>
      <c r="BS38" s="51">
        <v>424</v>
      </c>
      <c r="BT38" s="19"/>
      <c r="BU38" s="19"/>
      <c r="BV38" s="19"/>
      <c r="BW38" s="19"/>
      <c r="BX38" s="19"/>
      <c r="BZ38" s="51">
        <v>424</v>
      </c>
      <c r="CA38" s="19"/>
      <c r="CB38" s="19"/>
      <c r="CC38" s="19"/>
      <c r="CD38" s="19"/>
      <c r="CE38" s="19"/>
      <c r="CG38" s="51">
        <v>424</v>
      </c>
      <c r="CH38" s="19"/>
      <c r="CI38" s="19"/>
      <c r="CJ38" s="19"/>
      <c r="CK38" s="19"/>
      <c r="CL38" s="19"/>
      <c r="CN38" s="51">
        <v>424</v>
      </c>
      <c r="CO38" s="19"/>
      <c r="CP38" s="19"/>
      <c r="CQ38" s="19"/>
      <c r="CR38" s="19"/>
      <c r="CS38" s="19"/>
      <c r="DW38" s="51">
        <v>424</v>
      </c>
      <c r="DX38" s="19"/>
      <c r="DY38" s="19"/>
      <c r="DZ38" s="19"/>
      <c r="EA38" s="19"/>
      <c r="EB38" s="19"/>
      <c r="ED38" s="51">
        <v>424</v>
      </c>
      <c r="EE38" s="19"/>
      <c r="EF38" s="19"/>
      <c r="EG38" s="19"/>
      <c r="EH38" s="19"/>
      <c r="EI38" s="19"/>
      <c r="EK38" s="51">
        <v>424</v>
      </c>
      <c r="EL38" s="19">
        <v>569</v>
      </c>
      <c r="EM38" s="19">
        <v>577</v>
      </c>
      <c r="EN38" s="19">
        <f>EM38-EL38</f>
        <v>8</v>
      </c>
      <c r="EO38" s="19">
        <v>573</v>
      </c>
      <c r="EP38" s="19">
        <v>186</v>
      </c>
      <c r="ER38" s="51">
        <v>424</v>
      </c>
      <c r="ES38" s="19">
        <v>577</v>
      </c>
      <c r="ET38" s="19">
        <v>584</v>
      </c>
      <c r="EU38" s="19">
        <f>ET38-ES38</f>
        <v>7</v>
      </c>
      <c r="EV38" s="19">
        <v>579</v>
      </c>
      <c r="EW38" s="19">
        <v>114</v>
      </c>
      <c r="EY38" s="51">
        <v>424</v>
      </c>
      <c r="EZ38" s="19"/>
      <c r="FA38" s="19"/>
      <c r="FB38" s="19"/>
      <c r="FC38" s="19"/>
      <c r="FD38" s="19"/>
      <c r="FF38" s="51">
        <v>424</v>
      </c>
      <c r="FG38" s="19">
        <v>599</v>
      </c>
      <c r="FH38" s="19">
        <v>609</v>
      </c>
      <c r="FI38" s="19">
        <f>FH38-FG38</f>
        <v>10</v>
      </c>
      <c r="FJ38" s="19">
        <v>603</v>
      </c>
      <c r="FK38" s="19">
        <v>162</v>
      </c>
      <c r="FM38" s="51">
        <v>424</v>
      </c>
      <c r="FN38" s="19"/>
      <c r="FO38" s="19"/>
      <c r="FP38" s="19"/>
      <c r="FQ38" s="19"/>
      <c r="FR38" s="19"/>
      <c r="FT38" s="51">
        <v>424</v>
      </c>
      <c r="FU38" s="19"/>
      <c r="FV38" s="19"/>
      <c r="FW38" s="19"/>
      <c r="FX38" s="19"/>
      <c r="FY38" s="19"/>
      <c r="GA38" s="51">
        <v>424</v>
      </c>
      <c r="GB38" s="19"/>
      <c r="GC38" s="19"/>
      <c r="GD38" s="19"/>
      <c r="GE38" s="19"/>
      <c r="GF38" s="19"/>
    </row>
    <row r="39" spans="1:188" x14ac:dyDescent="0.35">
      <c r="A39" s="52"/>
      <c r="B39" s="19"/>
      <c r="C39" s="19"/>
      <c r="D39" s="19"/>
      <c r="E39" s="19"/>
      <c r="F39" s="19"/>
      <c r="H39" s="52"/>
      <c r="I39" s="19">
        <v>252</v>
      </c>
      <c r="J39" s="19">
        <v>261</v>
      </c>
      <c r="K39" s="19">
        <f>J39-I39</f>
        <v>9</v>
      </c>
      <c r="L39" s="19">
        <v>254</v>
      </c>
      <c r="M39" s="19">
        <v>141</v>
      </c>
      <c r="O39" s="52"/>
      <c r="P39" s="19"/>
      <c r="Q39" s="19"/>
      <c r="R39" s="19"/>
      <c r="S39" s="19"/>
      <c r="T39" s="19"/>
      <c r="V39" s="52"/>
      <c r="W39" s="19">
        <v>281</v>
      </c>
      <c r="X39" s="19">
        <v>291</v>
      </c>
      <c r="Y39" s="19">
        <f>X39-W39</f>
        <v>10</v>
      </c>
      <c r="Z39" s="19">
        <v>285</v>
      </c>
      <c r="AA39" s="19">
        <v>300</v>
      </c>
      <c r="AC39" s="52"/>
      <c r="AD39" s="19">
        <v>302</v>
      </c>
      <c r="AE39" s="19">
        <v>312</v>
      </c>
      <c r="AF39" s="19">
        <f>AE39-AD39</f>
        <v>10</v>
      </c>
      <c r="AG39" s="19">
        <v>306</v>
      </c>
      <c r="AH39" s="19">
        <v>250</v>
      </c>
      <c r="AJ39" s="52"/>
      <c r="AK39" s="19">
        <v>322</v>
      </c>
      <c r="AL39" s="19">
        <v>332</v>
      </c>
      <c r="AM39" s="19">
        <f>AL39-AK39</f>
        <v>10</v>
      </c>
      <c r="AN39" s="19">
        <v>327</v>
      </c>
      <c r="AO39" s="19">
        <v>250</v>
      </c>
      <c r="AQ39" s="52"/>
      <c r="AR39" s="19">
        <v>342</v>
      </c>
      <c r="AS39" s="19">
        <v>352</v>
      </c>
      <c r="AT39" s="19">
        <f>AS39-AR39</f>
        <v>10</v>
      </c>
      <c r="AU39" s="19">
        <v>346</v>
      </c>
      <c r="AV39" s="19">
        <v>263</v>
      </c>
      <c r="AX39" s="52"/>
      <c r="AY39" s="19">
        <v>362</v>
      </c>
      <c r="AZ39" s="19">
        <v>371</v>
      </c>
      <c r="BA39" s="19">
        <f>AZ39-AY39</f>
        <v>9</v>
      </c>
      <c r="BB39" s="19">
        <v>368</v>
      </c>
      <c r="BC39" s="19">
        <v>307</v>
      </c>
      <c r="BE39" s="52"/>
      <c r="BF39" s="19">
        <v>381</v>
      </c>
      <c r="BG39" s="19">
        <v>387</v>
      </c>
      <c r="BH39" s="19">
        <f>BG39-BF39</f>
        <v>6</v>
      </c>
      <c r="BI39" s="19">
        <v>381</v>
      </c>
      <c r="BJ39" s="19">
        <v>162</v>
      </c>
      <c r="BL39" s="52"/>
      <c r="BM39" s="19">
        <v>397</v>
      </c>
      <c r="BN39" s="19">
        <v>407</v>
      </c>
      <c r="BO39" s="19">
        <f>BN39-BM39</f>
        <v>10</v>
      </c>
      <c r="BP39" s="19">
        <v>401</v>
      </c>
      <c r="BQ39" s="19">
        <v>200</v>
      </c>
      <c r="BS39" s="52"/>
      <c r="BT39" s="19"/>
      <c r="BU39" s="19"/>
      <c r="BV39" s="19"/>
      <c r="BW39" s="19"/>
      <c r="BX39" s="19"/>
      <c r="BZ39" s="52"/>
      <c r="CA39" s="19"/>
      <c r="CB39" s="19"/>
      <c r="CC39" s="19"/>
      <c r="CD39" s="19"/>
      <c r="CE39" s="19"/>
      <c r="CG39" s="52"/>
      <c r="CH39" s="19"/>
      <c r="CI39" s="19"/>
      <c r="CJ39" s="19"/>
      <c r="CK39" s="19"/>
      <c r="CL39" s="19"/>
      <c r="CN39" s="52"/>
      <c r="CO39" s="19">
        <v>463</v>
      </c>
      <c r="CP39" s="19">
        <v>467</v>
      </c>
      <c r="CQ39" s="19">
        <f>CP39-CO39</f>
        <v>4</v>
      </c>
      <c r="CR39" s="19"/>
      <c r="CS39" s="19" t="s">
        <v>43</v>
      </c>
      <c r="DW39" s="52"/>
      <c r="DX39" s="19"/>
      <c r="DY39" s="19"/>
      <c r="DZ39" s="19"/>
      <c r="EA39" s="19"/>
      <c r="EB39" s="19"/>
      <c r="ED39" s="52"/>
      <c r="EE39" s="19"/>
      <c r="EF39" s="19"/>
      <c r="EG39" s="19"/>
      <c r="EH39" s="19"/>
      <c r="EI39" s="19"/>
      <c r="EK39" s="52"/>
      <c r="EL39" s="19"/>
      <c r="EM39" s="19"/>
      <c r="EN39" s="19"/>
      <c r="EO39" s="19"/>
      <c r="EP39" s="19"/>
      <c r="ER39" s="52"/>
      <c r="ES39" s="19"/>
      <c r="ET39" s="19"/>
      <c r="EU39" s="19"/>
      <c r="EV39" s="19"/>
      <c r="EW39" s="19"/>
      <c r="EY39" s="52"/>
      <c r="EZ39" s="19"/>
      <c r="FA39" s="19"/>
      <c r="FB39" s="19"/>
      <c r="FC39" s="19"/>
      <c r="FD39" s="19"/>
      <c r="FF39" s="52"/>
      <c r="FG39" s="19"/>
      <c r="FH39" s="19"/>
      <c r="FI39" s="19"/>
      <c r="FJ39" s="19"/>
      <c r="FK39" s="19"/>
      <c r="FM39" s="52"/>
      <c r="FN39" s="19"/>
      <c r="FO39" s="19"/>
      <c r="FP39" s="19"/>
      <c r="FQ39" s="19"/>
      <c r="FR39" s="19"/>
      <c r="FT39" s="52"/>
      <c r="FU39" s="19"/>
      <c r="FV39" s="19"/>
      <c r="FW39" s="19"/>
      <c r="FX39" s="19"/>
      <c r="FY39" s="19"/>
      <c r="GA39" s="52"/>
      <c r="GB39" s="19"/>
      <c r="GC39" s="19"/>
      <c r="GD39" s="19"/>
      <c r="GE39" s="19"/>
      <c r="GF39" s="19"/>
    </row>
    <row r="40" spans="1:188" x14ac:dyDescent="0.35">
      <c r="A40" s="51">
        <v>425</v>
      </c>
      <c r="B40" s="19">
        <v>154</v>
      </c>
      <c r="C40" s="19">
        <v>159</v>
      </c>
      <c r="D40" s="19">
        <f>C40-B40</f>
        <v>5</v>
      </c>
      <c r="E40" s="19">
        <v>158</v>
      </c>
      <c r="F40" s="19">
        <v>333</v>
      </c>
      <c r="H40" s="51">
        <v>425</v>
      </c>
      <c r="I40" s="19">
        <v>159</v>
      </c>
      <c r="J40" s="19">
        <v>173</v>
      </c>
      <c r="K40" s="19">
        <f>J40-I40</f>
        <v>14</v>
      </c>
      <c r="L40" s="19">
        <v>167</v>
      </c>
      <c r="M40" s="19">
        <v>282</v>
      </c>
      <c r="O40" s="51">
        <v>425</v>
      </c>
      <c r="P40" s="19">
        <v>173</v>
      </c>
      <c r="Q40" s="19">
        <v>193</v>
      </c>
      <c r="R40" s="19">
        <f>Q40-P40</f>
        <v>20</v>
      </c>
      <c r="S40" s="19">
        <v>177</v>
      </c>
      <c r="T40" s="19">
        <v>199</v>
      </c>
      <c r="V40" s="51">
        <v>425</v>
      </c>
      <c r="W40" s="19">
        <v>193</v>
      </c>
      <c r="X40" s="19">
        <v>213</v>
      </c>
      <c r="Y40" s="19">
        <f>X40-W40</f>
        <v>20</v>
      </c>
      <c r="Z40" s="19">
        <v>197</v>
      </c>
      <c r="AA40" s="19">
        <v>272</v>
      </c>
      <c r="AC40" s="51">
        <v>425</v>
      </c>
      <c r="AD40" s="19"/>
      <c r="AE40" s="19"/>
      <c r="AF40" s="19"/>
      <c r="AG40" s="19"/>
      <c r="AH40" s="19"/>
      <c r="AJ40" s="51">
        <v>425</v>
      </c>
      <c r="AK40" s="19">
        <v>213</v>
      </c>
      <c r="AL40" s="19">
        <v>230</v>
      </c>
      <c r="AM40" s="19">
        <f>AL40-AK40</f>
        <v>17</v>
      </c>
      <c r="AN40" s="19">
        <v>223</v>
      </c>
      <c r="AO40" s="19">
        <v>384</v>
      </c>
      <c r="AQ40" s="51">
        <v>425</v>
      </c>
      <c r="AR40" s="19"/>
      <c r="AS40" s="19"/>
      <c r="AT40" s="19"/>
      <c r="AU40" s="19"/>
      <c r="AV40" s="19"/>
      <c r="AX40" s="51">
        <v>425</v>
      </c>
      <c r="AY40" s="19"/>
      <c r="AZ40" s="19"/>
      <c r="BA40" s="19"/>
      <c r="BB40" s="19"/>
      <c r="BC40" s="19"/>
      <c r="BE40" s="51">
        <v>425</v>
      </c>
      <c r="BF40" s="19"/>
      <c r="BG40" s="19"/>
      <c r="BH40" s="19"/>
      <c r="BI40" s="19"/>
      <c r="BJ40" s="19"/>
      <c r="BL40" s="51">
        <v>425</v>
      </c>
      <c r="BM40" s="19"/>
      <c r="BN40" s="19"/>
      <c r="BO40" s="19"/>
      <c r="BP40" s="19"/>
      <c r="BQ40" s="19"/>
      <c r="BS40" s="51">
        <v>425</v>
      </c>
      <c r="BT40" s="19"/>
      <c r="BU40" s="19"/>
      <c r="BV40" s="19"/>
      <c r="BW40" s="19"/>
      <c r="BX40" s="19"/>
      <c r="BZ40" s="51">
        <v>425</v>
      </c>
      <c r="CA40" s="19"/>
      <c r="CB40" s="19"/>
      <c r="CC40" s="19"/>
      <c r="CD40" s="19"/>
      <c r="CE40" s="19"/>
      <c r="CG40" s="51">
        <v>425</v>
      </c>
      <c r="CH40" s="19"/>
      <c r="CI40" s="19"/>
      <c r="CJ40" s="19"/>
      <c r="CK40" s="19"/>
      <c r="CL40" s="19"/>
      <c r="CN40" s="51">
        <v>425</v>
      </c>
      <c r="CO40" s="19">
        <v>351</v>
      </c>
      <c r="CP40" s="19">
        <v>367</v>
      </c>
      <c r="CQ40" s="19">
        <f>CP40-CO40</f>
        <v>16</v>
      </c>
      <c r="CR40" s="19">
        <v>354</v>
      </c>
      <c r="CS40" s="19">
        <v>245</v>
      </c>
      <c r="DW40" s="51">
        <v>425</v>
      </c>
      <c r="DX40" s="19"/>
      <c r="DY40" s="19"/>
      <c r="DZ40" s="19"/>
      <c r="EA40" s="19"/>
      <c r="EB40" s="19"/>
      <c r="ED40" s="51">
        <v>425</v>
      </c>
      <c r="EE40" s="19"/>
      <c r="EF40" s="19"/>
      <c r="EG40" s="19"/>
      <c r="EH40" s="19"/>
      <c r="EI40" s="19"/>
      <c r="EK40" s="51">
        <v>425</v>
      </c>
      <c r="EL40" s="19">
        <v>463</v>
      </c>
      <c r="EM40" s="19">
        <v>472</v>
      </c>
      <c r="EN40" s="19">
        <f>EM40-EL40</f>
        <v>9</v>
      </c>
      <c r="EO40" s="19">
        <v>467</v>
      </c>
      <c r="EP40" s="19">
        <v>200</v>
      </c>
      <c r="ER40" s="51">
        <v>425</v>
      </c>
      <c r="ES40" s="19">
        <v>472</v>
      </c>
      <c r="ET40" s="19">
        <v>478</v>
      </c>
      <c r="EU40" s="19">
        <f>ET40-ES40</f>
        <v>6</v>
      </c>
      <c r="EV40" s="19">
        <v>473</v>
      </c>
      <c r="EW40" s="19">
        <v>100</v>
      </c>
      <c r="EY40" s="51">
        <v>425</v>
      </c>
      <c r="EZ40" s="19"/>
      <c r="FA40" s="19"/>
      <c r="FB40" s="19"/>
      <c r="FC40" s="19"/>
      <c r="FD40" s="19"/>
      <c r="FF40" s="51">
        <v>425</v>
      </c>
      <c r="FG40" s="19">
        <v>484</v>
      </c>
      <c r="FH40" s="19">
        <v>488</v>
      </c>
      <c r="FI40" s="19">
        <f>FH40-FG40</f>
        <v>4</v>
      </c>
      <c r="FJ40" s="19"/>
      <c r="FK40" s="19" t="s">
        <v>43</v>
      </c>
      <c r="FM40" s="51">
        <v>425</v>
      </c>
      <c r="FN40" s="19"/>
      <c r="FO40" s="19"/>
      <c r="FP40" s="19"/>
      <c r="FQ40" s="19"/>
      <c r="FR40" s="19"/>
      <c r="FT40" s="51">
        <v>425</v>
      </c>
      <c r="FU40" s="19"/>
      <c r="FV40" s="19"/>
      <c r="FW40" s="19"/>
      <c r="FX40" s="19"/>
      <c r="FY40" s="19"/>
      <c r="GA40" s="51">
        <v>425</v>
      </c>
      <c r="GB40" s="19"/>
      <c r="GC40" s="19"/>
      <c r="GD40" s="19"/>
      <c r="GE40" s="19"/>
      <c r="GF40" s="19"/>
    </row>
    <row r="41" spans="1:188" x14ac:dyDescent="0.35">
      <c r="A41" s="52"/>
      <c r="B41" s="19"/>
      <c r="C41" s="19"/>
      <c r="D41" s="19"/>
      <c r="E41" s="19"/>
      <c r="F41" s="19"/>
      <c r="H41" s="52"/>
      <c r="I41" s="19"/>
      <c r="J41" s="19"/>
      <c r="K41" s="19"/>
      <c r="L41" s="19"/>
      <c r="M41" s="19"/>
      <c r="O41" s="52"/>
      <c r="P41" s="19"/>
      <c r="Q41" s="19"/>
      <c r="R41" s="19"/>
      <c r="S41" s="19">
        <v>187</v>
      </c>
      <c r="T41" s="19">
        <v>270</v>
      </c>
      <c r="V41" s="52"/>
      <c r="W41" s="19"/>
      <c r="X41" s="19"/>
      <c r="Y41" s="19"/>
      <c r="Z41" s="19">
        <v>208</v>
      </c>
      <c r="AA41" s="19">
        <v>151</v>
      </c>
      <c r="AC41" s="52"/>
      <c r="AD41" s="19"/>
      <c r="AE41" s="19"/>
      <c r="AF41" s="19"/>
      <c r="AG41" s="19"/>
      <c r="AH41" s="19"/>
      <c r="AJ41" s="52"/>
      <c r="AK41" s="19"/>
      <c r="AL41" s="19"/>
      <c r="AM41" s="19"/>
      <c r="AN41" s="19"/>
      <c r="AO41" s="19"/>
      <c r="AQ41" s="52"/>
      <c r="AR41" s="19">
        <v>239</v>
      </c>
      <c r="AS41" s="19">
        <v>249</v>
      </c>
      <c r="AT41" s="19">
        <f>AS41-AR41</f>
        <v>10</v>
      </c>
      <c r="AU41" s="19">
        <v>243</v>
      </c>
      <c r="AV41" s="19">
        <v>248</v>
      </c>
      <c r="AX41" s="52"/>
      <c r="AY41" s="19">
        <v>259</v>
      </c>
      <c r="AZ41" s="19">
        <v>267</v>
      </c>
      <c r="BA41" s="19">
        <f>AZ41-AY41</f>
        <v>8</v>
      </c>
      <c r="BB41" s="19">
        <v>262</v>
      </c>
      <c r="BC41" s="19">
        <v>227</v>
      </c>
      <c r="BE41" s="52"/>
      <c r="BF41" s="19">
        <v>276</v>
      </c>
      <c r="BG41" s="19">
        <v>286</v>
      </c>
      <c r="BH41" s="19">
        <f>BG41-BF41</f>
        <v>10</v>
      </c>
      <c r="BI41" s="19">
        <v>280</v>
      </c>
      <c r="BJ41" s="19">
        <v>250</v>
      </c>
      <c r="BL41" s="52"/>
      <c r="BM41" s="19">
        <v>296</v>
      </c>
      <c r="BN41" s="19">
        <v>306</v>
      </c>
      <c r="BO41" s="19">
        <f>BN41-BM41</f>
        <v>10</v>
      </c>
      <c r="BP41" s="19">
        <v>299</v>
      </c>
      <c r="BQ41" s="19">
        <v>198</v>
      </c>
      <c r="BS41" s="52"/>
      <c r="BT41" s="19"/>
      <c r="BU41" s="19"/>
      <c r="BV41" s="19"/>
      <c r="BW41" s="19"/>
      <c r="BX41" s="19"/>
      <c r="BZ41" s="52"/>
      <c r="CA41" s="19"/>
      <c r="CB41" s="19"/>
      <c r="CC41" s="19"/>
      <c r="CD41" s="19"/>
      <c r="CE41" s="19"/>
      <c r="CG41" s="52"/>
      <c r="CH41" s="19"/>
      <c r="CI41" s="19"/>
      <c r="CJ41" s="19"/>
      <c r="CK41" s="19"/>
      <c r="CL41" s="19"/>
      <c r="CN41" s="52"/>
      <c r="CO41" s="19"/>
      <c r="CP41" s="19"/>
      <c r="CQ41" s="19"/>
      <c r="CR41" s="19">
        <v>362</v>
      </c>
      <c r="CS41" s="19">
        <v>220</v>
      </c>
      <c r="DW41" s="52"/>
      <c r="DX41" s="19"/>
      <c r="DY41" s="19"/>
      <c r="DZ41" s="19"/>
      <c r="EA41" s="19"/>
      <c r="EB41" s="19"/>
      <c r="ED41" s="52"/>
      <c r="EE41" s="19"/>
      <c r="EF41" s="19"/>
      <c r="EG41" s="19"/>
      <c r="EH41" s="19"/>
      <c r="EI41" s="19"/>
      <c r="EK41" s="52"/>
      <c r="EL41" s="19"/>
      <c r="EM41" s="19"/>
      <c r="EN41" s="19"/>
      <c r="EO41" s="19"/>
      <c r="EP41" s="19"/>
      <c r="ER41" s="52"/>
      <c r="ES41" s="19"/>
      <c r="ET41" s="19"/>
      <c r="EU41" s="19"/>
      <c r="EV41" s="19"/>
      <c r="EW41" s="19"/>
      <c r="EY41" s="52"/>
      <c r="EZ41" s="19"/>
      <c r="FA41" s="19"/>
      <c r="FB41" s="19"/>
      <c r="FC41" s="19"/>
      <c r="FD41" s="19"/>
      <c r="FF41" s="52"/>
      <c r="FG41" s="19"/>
      <c r="FH41" s="19"/>
      <c r="FI41" s="19"/>
      <c r="FJ41" s="19"/>
      <c r="FK41" s="19"/>
      <c r="FM41" s="52"/>
      <c r="FN41" s="19"/>
      <c r="FO41" s="19"/>
      <c r="FP41" s="19"/>
      <c r="FQ41" s="19"/>
      <c r="FR41" s="19"/>
      <c r="FT41" s="52"/>
      <c r="FU41" s="19"/>
      <c r="FV41" s="19"/>
      <c r="FW41" s="19"/>
      <c r="FX41" s="19"/>
      <c r="FY41" s="19"/>
      <c r="GA41" s="52"/>
      <c r="GB41" s="19"/>
      <c r="GC41" s="19"/>
      <c r="GD41" s="19"/>
      <c r="GE41" s="19"/>
      <c r="GF41" s="19"/>
    </row>
    <row r="42" spans="1:188" x14ac:dyDescent="0.35">
      <c r="A42" s="51">
        <v>426</v>
      </c>
      <c r="B42" s="24"/>
      <c r="C42" s="19"/>
      <c r="D42" s="19"/>
      <c r="E42" s="19"/>
      <c r="F42" s="19"/>
      <c r="H42" s="51">
        <v>426</v>
      </c>
      <c r="I42" s="24"/>
      <c r="J42" s="19"/>
      <c r="K42" s="19"/>
      <c r="L42" s="19"/>
      <c r="M42" s="19"/>
      <c r="O42" s="51">
        <v>426</v>
      </c>
      <c r="P42" s="24"/>
      <c r="Q42" s="19"/>
      <c r="R42" s="19"/>
      <c r="S42" s="19"/>
      <c r="T42" s="19"/>
      <c r="V42" s="51">
        <v>426</v>
      </c>
      <c r="W42" s="24"/>
      <c r="X42" s="19"/>
      <c r="Y42" s="19"/>
      <c r="Z42" s="19"/>
      <c r="AA42" s="19"/>
      <c r="AC42" s="51">
        <v>426</v>
      </c>
      <c r="AD42" s="24"/>
      <c r="AE42" s="19"/>
      <c r="AF42" s="19"/>
      <c r="AG42" s="19"/>
      <c r="AH42" s="19"/>
      <c r="AJ42" s="51">
        <v>426</v>
      </c>
      <c r="AK42" s="24">
        <v>229</v>
      </c>
      <c r="AL42" s="19">
        <v>249</v>
      </c>
      <c r="AM42" s="19">
        <f>AL42-AK42</f>
        <v>20</v>
      </c>
      <c r="AN42" s="19">
        <v>233</v>
      </c>
      <c r="AO42" s="19">
        <v>139</v>
      </c>
      <c r="AQ42" s="51">
        <v>426</v>
      </c>
      <c r="AR42" s="24"/>
      <c r="AS42" s="19"/>
      <c r="AT42" s="19"/>
      <c r="AU42" s="19"/>
      <c r="AV42" s="19"/>
      <c r="AX42" s="51">
        <v>426</v>
      </c>
      <c r="AY42" s="24"/>
      <c r="AZ42" s="19"/>
      <c r="BA42" s="19"/>
      <c r="BB42" s="19"/>
      <c r="BC42" s="19"/>
      <c r="BE42" s="51">
        <v>426</v>
      </c>
      <c r="BF42" s="24"/>
      <c r="BG42" s="19"/>
      <c r="BH42" s="19"/>
      <c r="BI42" s="19"/>
      <c r="BJ42" s="19"/>
      <c r="BL42" s="51">
        <v>426</v>
      </c>
      <c r="BM42" s="24"/>
      <c r="BN42" s="19"/>
      <c r="BO42" s="19"/>
      <c r="BP42" s="19"/>
      <c r="BQ42" s="19"/>
      <c r="BS42" s="51">
        <v>426</v>
      </c>
      <c r="BT42" s="24"/>
      <c r="BU42" s="19"/>
      <c r="BV42" s="19"/>
      <c r="BW42" s="19"/>
      <c r="BX42" s="19"/>
      <c r="BZ42" s="51">
        <v>426</v>
      </c>
      <c r="CA42" s="24"/>
      <c r="CB42" s="19"/>
      <c r="CC42" s="19"/>
      <c r="CD42" s="19"/>
      <c r="CE42" s="19"/>
      <c r="CG42" s="51">
        <v>426</v>
      </c>
      <c r="CH42" s="19"/>
      <c r="CI42" s="19"/>
      <c r="CJ42" s="19"/>
      <c r="CK42" s="19"/>
      <c r="CL42" s="19"/>
      <c r="CN42" s="51">
        <v>426</v>
      </c>
      <c r="CO42" s="19">
        <v>366</v>
      </c>
      <c r="CP42" s="19">
        <v>382</v>
      </c>
      <c r="CQ42" s="19">
        <f>CP42-CO42</f>
        <v>16</v>
      </c>
      <c r="CR42" s="19">
        <v>369</v>
      </c>
      <c r="CS42" s="19">
        <v>185</v>
      </c>
      <c r="DW42" s="51">
        <v>426</v>
      </c>
      <c r="DX42" s="24"/>
      <c r="DY42" s="19"/>
      <c r="DZ42" s="19"/>
      <c r="EA42" s="19"/>
      <c r="EB42" s="19"/>
      <c r="ED42" s="51">
        <v>426</v>
      </c>
      <c r="EE42" s="24"/>
      <c r="EF42" s="19"/>
      <c r="EG42" s="19"/>
      <c r="EH42" s="19"/>
      <c r="EI42" s="19"/>
      <c r="EK42" s="51">
        <v>426</v>
      </c>
      <c r="EL42" s="24">
        <v>491</v>
      </c>
      <c r="EM42" s="19">
        <v>505</v>
      </c>
      <c r="EN42" s="19">
        <f>EM42-EL42</f>
        <v>14</v>
      </c>
      <c r="EO42" s="19">
        <v>500</v>
      </c>
      <c r="EP42" s="19">
        <v>250</v>
      </c>
      <c r="ER42" s="51">
        <v>426</v>
      </c>
      <c r="ES42" s="24">
        <v>505</v>
      </c>
      <c r="ET42" s="19">
        <v>506</v>
      </c>
      <c r="EU42" s="19">
        <f>ET42-ES42</f>
        <v>1</v>
      </c>
      <c r="EV42" s="19"/>
      <c r="EW42" s="19" t="s">
        <v>43</v>
      </c>
      <c r="EY42" s="51">
        <v>426</v>
      </c>
      <c r="EZ42" s="24"/>
      <c r="FA42" s="19"/>
      <c r="FB42" s="19"/>
      <c r="FC42" s="19"/>
      <c r="FD42" s="19"/>
      <c r="FF42" s="51">
        <v>426</v>
      </c>
      <c r="FG42" s="24">
        <v>521</v>
      </c>
      <c r="FH42" s="19">
        <v>531</v>
      </c>
      <c r="FI42" s="19">
        <f>FH42-FG42</f>
        <v>10</v>
      </c>
      <c r="FJ42" s="19">
        <v>525</v>
      </c>
      <c r="FK42" s="19">
        <v>178</v>
      </c>
      <c r="FM42" s="51">
        <v>426</v>
      </c>
      <c r="FN42" s="24"/>
      <c r="FO42" s="19"/>
      <c r="FP42" s="19"/>
      <c r="FQ42" s="19"/>
      <c r="FR42" s="19"/>
      <c r="FT42" s="51">
        <v>426</v>
      </c>
      <c r="FU42" s="24"/>
      <c r="FV42" s="19"/>
      <c r="FW42" s="19"/>
      <c r="FX42" s="19"/>
      <c r="FY42" s="19"/>
      <c r="GA42" s="51">
        <v>426</v>
      </c>
      <c r="GB42" s="24"/>
      <c r="GC42" s="19"/>
      <c r="GD42" s="19"/>
      <c r="GE42" s="19"/>
      <c r="GF42" s="19"/>
    </row>
    <row r="43" spans="1:188" x14ac:dyDescent="0.35">
      <c r="A43" s="52"/>
      <c r="B43" s="19"/>
      <c r="C43" s="19"/>
      <c r="D43" s="19"/>
      <c r="E43" s="19"/>
      <c r="F43" s="19"/>
      <c r="H43" s="52"/>
      <c r="I43" s="19">
        <v>158</v>
      </c>
      <c r="J43" s="19">
        <v>168</v>
      </c>
      <c r="K43" s="19">
        <f>J43-I43</f>
        <v>10</v>
      </c>
      <c r="L43" s="19">
        <v>162</v>
      </c>
      <c r="M43" s="19">
        <v>184</v>
      </c>
      <c r="O43" s="52"/>
      <c r="P43" s="19">
        <v>179</v>
      </c>
      <c r="Q43" s="19">
        <v>189</v>
      </c>
      <c r="R43" s="19">
        <f>Q43-P43</f>
        <v>10</v>
      </c>
      <c r="S43" s="19">
        <v>183</v>
      </c>
      <c r="T43" s="19">
        <v>200</v>
      </c>
      <c r="V43" s="52"/>
      <c r="W43" s="19">
        <v>199</v>
      </c>
      <c r="X43" s="19">
        <v>209</v>
      </c>
      <c r="Y43" s="19">
        <f>X43-W43</f>
        <v>10</v>
      </c>
      <c r="Z43" s="19">
        <v>202</v>
      </c>
      <c r="AA43" s="19">
        <v>300</v>
      </c>
      <c r="AC43" s="52"/>
      <c r="AD43" s="19"/>
      <c r="AE43" s="19"/>
      <c r="AF43" s="19"/>
      <c r="AG43" s="19"/>
      <c r="AH43" s="19"/>
      <c r="AJ43" s="52"/>
      <c r="AK43" s="19"/>
      <c r="AL43" s="19"/>
      <c r="AM43" s="19"/>
      <c r="AN43" s="19">
        <v>243</v>
      </c>
      <c r="AO43" s="19">
        <v>242</v>
      </c>
      <c r="AQ43" s="52"/>
      <c r="AR43" s="19"/>
      <c r="AS43" s="19"/>
      <c r="AT43" s="19"/>
      <c r="AU43" s="19"/>
      <c r="AV43" s="19"/>
      <c r="AX43" s="52"/>
      <c r="AY43" s="19">
        <v>279</v>
      </c>
      <c r="AZ43" s="19">
        <v>287</v>
      </c>
      <c r="BA43" s="19">
        <f>AZ43-AY43</f>
        <v>8</v>
      </c>
      <c r="BB43" s="19">
        <v>282</v>
      </c>
      <c r="BC43" s="19">
        <v>225</v>
      </c>
      <c r="BE43" s="52"/>
      <c r="BF43" s="19">
        <v>296</v>
      </c>
      <c r="BG43" s="19">
        <v>306</v>
      </c>
      <c r="BH43" s="19">
        <f>BG43-BF43</f>
        <v>10</v>
      </c>
      <c r="BI43" s="19">
        <v>300</v>
      </c>
      <c r="BJ43" s="19">
        <v>200</v>
      </c>
      <c r="BL43" s="52"/>
      <c r="BM43" s="19">
        <v>317</v>
      </c>
      <c r="BN43" s="19">
        <v>326</v>
      </c>
      <c r="BO43" s="19">
        <f>BN43-BM43</f>
        <v>9</v>
      </c>
      <c r="BP43" s="19">
        <v>319</v>
      </c>
      <c r="BQ43" s="19">
        <v>147</v>
      </c>
      <c r="BS43" s="52"/>
      <c r="BT43" s="19"/>
      <c r="BU43" s="19"/>
      <c r="BV43" s="19"/>
      <c r="BW43" s="19"/>
      <c r="BX43" s="19"/>
      <c r="BZ43" s="52"/>
      <c r="CA43" s="19"/>
      <c r="CB43" s="19"/>
      <c r="CC43" s="19"/>
      <c r="CD43" s="19"/>
      <c r="CE43" s="19"/>
      <c r="CG43" s="52"/>
      <c r="CH43" s="19"/>
      <c r="CI43" s="19"/>
      <c r="CJ43" s="19"/>
      <c r="CK43" s="19"/>
      <c r="CL43" s="19"/>
      <c r="CN43" s="52"/>
      <c r="CO43" s="19"/>
      <c r="CP43" s="19"/>
      <c r="CQ43" s="19"/>
      <c r="CR43" s="19">
        <v>376</v>
      </c>
      <c r="CS43" s="19">
        <v>230</v>
      </c>
      <c r="DW43" s="52"/>
      <c r="DX43" s="19"/>
      <c r="DY43" s="19"/>
      <c r="DZ43" s="19"/>
      <c r="EA43" s="19"/>
      <c r="EB43" s="19"/>
      <c r="ED43" s="52"/>
      <c r="EE43" s="19"/>
      <c r="EF43" s="19"/>
      <c r="EG43" s="19"/>
      <c r="EH43" s="19"/>
      <c r="EI43" s="19"/>
      <c r="EK43" s="52"/>
      <c r="EL43" s="19"/>
      <c r="EM43" s="19"/>
      <c r="EN43" s="19"/>
      <c r="EO43" s="19"/>
      <c r="EP43" s="19"/>
      <c r="ER43" s="52"/>
      <c r="ES43" s="19"/>
      <c r="ET43" s="19"/>
      <c r="EU43" s="19"/>
      <c r="EV43" s="19"/>
      <c r="EW43" s="19"/>
      <c r="EY43" s="52"/>
      <c r="EZ43" s="19"/>
      <c r="FA43" s="19"/>
      <c r="FB43" s="19"/>
      <c r="FC43" s="19"/>
      <c r="FD43" s="19"/>
      <c r="FF43" s="52"/>
      <c r="FG43" s="19"/>
      <c r="FH43" s="19"/>
      <c r="FI43" s="19"/>
      <c r="FJ43" s="19"/>
      <c r="FK43" s="19"/>
      <c r="FM43" s="52"/>
      <c r="FN43" s="19"/>
      <c r="FO43" s="19"/>
      <c r="FP43" s="19"/>
      <c r="FQ43" s="19"/>
      <c r="FR43" s="19"/>
      <c r="FT43" s="52"/>
      <c r="FU43" s="19"/>
      <c r="FV43" s="19"/>
      <c r="FW43" s="19"/>
      <c r="FX43" s="19"/>
      <c r="FY43" s="19"/>
      <c r="GA43" s="52"/>
      <c r="GB43" s="19"/>
      <c r="GC43" s="19"/>
      <c r="GD43" s="19"/>
      <c r="GE43" s="19"/>
      <c r="GF43" s="19"/>
    </row>
    <row r="44" spans="1:188" x14ac:dyDescent="0.35">
      <c r="A44" s="51">
        <v>427</v>
      </c>
      <c r="B44" s="19"/>
      <c r="C44" s="19"/>
      <c r="D44" s="19"/>
      <c r="E44" s="19"/>
      <c r="F44" s="19"/>
      <c r="H44" s="51">
        <v>427</v>
      </c>
      <c r="I44" s="19"/>
      <c r="J44" s="19"/>
      <c r="K44" s="19"/>
      <c r="L44" s="19"/>
      <c r="M44" s="19"/>
      <c r="O44" s="51">
        <v>427</v>
      </c>
      <c r="P44" s="19">
        <v>176</v>
      </c>
      <c r="Q44" s="19">
        <v>180</v>
      </c>
      <c r="R44" s="19">
        <f>Q44-P44</f>
        <v>4</v>
      </c>
      <c r="S44" s="19"/>
      <c r="T44" s="19" t="s">
        <v>43</v>
      </c>
      <c r="V44" s="51">
        <v>427</v>
      </c>
      <c r="W44" s="19"/>
      <c r="X44" s="19"/>
      <c r="Y44" s="19"/>
      <c r="Z44" s="19"/>
      <c r="AA44" s="19"/>
      <c r="AC44" s="51">
        <v>427</v>
      </c>
      <c r="AD44" s="19">
        <v>211</v>
      </c>
      <c r="AE44" s="19">
        <v>221</v>
      </c>
      <c r="AF44" s="19">
        <f>AE44-AD44</f>
        <v>10</v>
      </c>
      <c r="AG44" s="19">
        <v>215</v>
      </c>
      <c r="AH44" s="19">
        <v>290</v>
      </c>
      <c r="AJ44" s="51">
        <v>427</v>
      </c>
      <c r="AK44" s="19"/>
      <c r="AL44" s="19"/>
      <c r="AM44" s="19"/>
      <c r="AN44" s="19"/>
      <c r="AO44" s="19"/>
      <c r="AQ44" s="51">
        <v>427</v>
      </c>
      <c r="AR44" s="19"/>
      <c r="AS44" s="19"/>
      <c r="AT44" s="19"/>
      <c r="AU44" s="19"/>
      <c r="AV44" s="19"/>
      <c r="AX44" s="51">
        <v>427</v>
      </c>
      <c r="AY44" s="19"/>
      <c r="AZ44" s="19"/>
      <c r="BA44" s="19"/>
      <c r="BB44" s="19"/>
      <c r="BC44" s="19"/>
      <c r="BE44" s="51">
        <v>427</v>
      </c>
      <c r="BF44" s="19"/>
      <c r="BG44" s="19"/>
      <c r="BH44" s="19"/>
      <c r="BI44" s="19"/>
      <c r="BJ44" s="19"/>
      <c r="BL44" s="51">
        <v>427</v>
      </c>
      <c r="BM44" s="19"/>
      <c r="BN44" s="19"/>
      <c r="BO44" s="19"/>
      <c r="BP44" s="19"/>
      <c r="BQ44" s="19"/>
      <c r="BS44" s="51">
        <v>427</v>
      </c>
      <c r="BT44" s="19">
        <v>320</v>
      </c>
      <c r="BU44" s="19">
        <v>326</v>
      </c>
      <c r="BV44" s="19">
        <f>BU44-BT44</f>
        <v>6</v>
      </c>
      <c r="BW44" s="19">
        <v>324</v>
      </c>
      <c r="BX44" s="19">
        <v>260</v>
      </c>
      <c r="BZ44" s="51">
        <v>427</v>
      </c>
      <c r="CA44" s="19"/>
      <c r="CB44" s="19"/>
      <c r="CC44" s="19"/>
      <c r="CD44" s="19"/>
      <c r="CE44" s="19"/>
      <c r="CG44" s="51">
        <v>427</v>
      </c>
      <c r="CH44" s="19"/>
      <c r="CI44" s="19"/>
      <c r="CJ44" s="19"/>
      <c r="CK44" s="19"/>
      <c r="CL44" s="19"/>
      <c r="CN44" s="51">
        <v>427</v>
      </c>
      <c r="CO44" s="19">
        <v>365</v>
      </c>
      <c r="CP44" s="19">
        <v>380</v>
      </c>
      <c r="CQ44" s="19">
        <f>CP44-CO44</f>
        <v>15</v>
      </c>
      <c r="CR44" s="19">
        <v>367</v>
      </c>
      <c r="CS44" s="19">
        <v>314</v>
      </c>
      <c r="DW44" s="51">
        <v>427</v>
      </c>
      <c r="DX44" s="19"/>
      <c r="DY44" s="19"/>
      <c r="DZ44" s="19"/>
      <c r="EA44" s="19"/>
      <c r="EB44" s="19"/>
      <c r="ED44" s="51">
        <v>427</v>
      </c>
      <c r="EE44" s="19"/>
      <c r="EF44" s="19"/>
      <c r="EG44" s="19"/>
      <c r="EH44" s="19"/>
      <c r="EI44" s="19"/>
      <c r="EK44" s="51">
        <v>427</v>
      </c>
      <c r="EL44" s="19">
        <v>491</v>
      </c>
      <c r="EM44" s="19">
        <v>499</v>
      </c>
      <c r="EN44" s="19">
        <f>EM44-EL44</f>
        <v>8</v>
      </c>
      <c r="EO44" s="19">
        <v>494</v>
      </c>
      <c r="EP44" s="19">
        <v>271</v>
      </c>
      <c r="ER44" s="51">
        <v>427</v>
      </c>
      <c r="ES44" s="19">
        <v>499</v>
      </c>
      <c r="ET44" s="19">
        <v>502</v>
      </c>
      <c r="EU44" s="19">
        <f>ET44-ES44</f>
        <v>3</v>
      </c>
      <c r="EV44" s="19">
        <v>500</v>
      </c>
      <c r="EW44" s="19">
        <v>140</v>
      </c>
      <c r="EY44" s="51">
        <v>427</v>
      </c>
      <c r="EZ44" s="19"/>
      <c r="FA44" s="19"/>
      <c r="FB44" s="19"/>
      <c r="FC44" s="19"/>
      <c r="FD44" s="19"/>
      <c r="FF44" s="51">
        <v>427</v>
      </c>
      <c r="FG44" s="19">
        <v>518</v>
      </c>
      <c r="FH44" s="19">
        <v>519</v>
      </c>
      <c r="FI44" s="19">
        <f>FH44-FG44</f>
        <v>1</v>
      </c>
      <c r="FJ44" s="19"/>
      <c r="FK44" s="19" t="s">
        <v>43</v>
      </c>
      <c r="FM44" s="51">
        <v>427</v>
      </c>
      <c r="FN44" s="19"/>
      <c r="FO44" s="19"/>
      <c r="FP44" s="19"/>
      <c r="FQ44" s="19"/>
      <c r="FR44" s="19"/>
      <c r="FT44" s="51">
        <v>427</v>
      </c>
      <c r="FU44" s="19"/>
      <c r="FV44" s="19"/>
      <c r="FW44" s="19"/>
      <c r="FX44" s="19"/>
      <c r="FY44" s="19"/>
      <c r="GA44" s="51">
        <v>427</v>
      </c>
      <c r="GB44" s="19"/>
      <c r="GC44" s="19"/>
      <c r="GD44" s="19"/>
      <c r="GE44" s="19"/>
      <c r="GF44" s="19"/>
    </row>
    <row r="45" spans="1:188" x14ac:dyDescent="0.35">
      <c r="A45" s="52"/>
      <c r="B45" s="19"/>
      <c r="C45" s="19"/>
      <c r="D45" s="19"/>
      <c r="E45" s="19"/>
      <c r="F45" s="19"/>
      <c r="H45" s="52"/>
      <c r="I45" s="19">
        <v>165</v>
      </c>
      <c r="J45" s="19">
        <v>176</v>
      </c>
      <c r="K45" s="19">
        <f>J45-I45</f>
        <v>11</v>
      </c>
      <c r="L45" s="19">
        <v>169</v>
      </c>
      <c r="M45" s="19">
        <v>221</v>
      </c>
      <c r="O45" s="52"/>
      <c r="P45" s="19"/>
      <c r="Q45" s="19"/>
      <c r="R45" s="19"/>
      <c r="S45" s="19"/>
      <c r="T45" s="19"/>
      <c r="V45" s="52"/>
      <c r="W45" s="19">
        <v>190</v>
      </c>
      <c r="X45" s="19">
        <v>201</v>
      </c>
      <c r="Y45" s="19">
        <f>X45-W45</f>
        <v>11</v>
      </c>
      <c r="Z45" s="19">
        <v>195</v>
      </c>
      <c r="AA45" s="19">
        <v>162</v>
      </c>
      <c r="AC45" s="52"/>
      <c r="AD45" s="19"/>
      <c r="AE45" s="19"/>
      <c r="AF45" s="19"/>
      <c r="AG45" s="19"/>
      <c r="AH45" s="19"/>
      <c r="AJ45" s="52"/>
      <c r="AK45" s="19">
        <v>232</v>
      </c>
      <c r="AL45" s="19">
        <v>242</v>
      </c>
      <c r="AM45" s="19">
        <f>AL45-AK45</f>
        <v>10</v>
      </c>
      <c r="AN45" s="19">
        <v>236</v>
      </c>
      <c r="AO45" s="19">
        <v>284</v>
      </c>
      <c r="AQ45" s="52"/>
      <c r="AR45" s="19">
        <v>252</v>
      </c>
      <c r="AS45" s="19">
        <v>262</v>
      </c>
      <c r="AT45" s="19">
        <f>AS45-AR45</f>
        <v>10</v>
      </c>
      <c r="AU45" s="19">
        <v>257</v>
      </c>
      <c r="AV45" s="19">
        <v>298</v>
      </c>
      <c r="AX45" s="52"/>
      <c r="AY45" s="19">
        <v>272</v>
      </c>
      <c r="AZ45" s="19">
        <v>280</v>
      </c>
      <c r="BA45" s="19">
        <f>AZ45-AY45</f>
        <v>8</v>
      </c>
      <c r="BB45" s="19">
        <v>276</v>
      </c>
      <c r="BC45" s="19">
        <v>257</v>
      </c>
      <c r="BE45" s="52"/>
      <c r="BF45" s="19">
        <v>290</v>
      </c>
      <c r="BG45" s="19">
        <v>301</v>
      </c>
      <c r="BH45" s="19">
        <f>BG45-BF45</f>
        <v>11</v>
      </c>
      <c r="BI45" s="19">
        <v>295</v>
      </c>
      <c r="BJ45" s="19">
        <v>260</v>
      </c>
      <c r="BL45" s="52"/>
      <c r="BM45" s="19">
        <v>311</v>
      </c>
      <c r="BN45" s="19">
        <v>320</v>
      </c>
      <c r="BO45" s="19">
        <f>BN45-BM45</f>
        <v>9</v>
      </c>
      <c r="BP45" s="19">
        <v>315</v>
      </c>
      <c r="BQ45" s="19">
        <v>180</v>
      </c>
      <c r="BS45" s="52"/>
      <c r="BT45" s="19"/>
      <c r="BU45" s="19"/>
      <c r="BV45" s="19"/>
      <c r="BW45" s="19"/>
      <c r="BX45" s="19"/>
      <c r="BZ45" s="52"/>
      <c r="CA45" s="19"/>
      <c r="CB45" s="19"/>
      <c r="CC45" s="19"/>
      <c r="CD45" s="19"/>
      <c r="CE45" s="19"/>
      <c r="CG45" s="52"/>
      <c r="CH45" s="19"/>
      <c r="CI45" s="19"/>
      <c r="CJ45" s="19"/>
      <c r="CK45" s="19"/>
      <c r="CL45" s="19"/>
      <c r="CN45" s="52"/>
      <c r="CO45" s="19"/>
      <c r="CP45" s="19"/>
      <c r="CQ45" s="19"/>
      <c r="CR45" s="19">
        <v>375</v>
      </c>
      <c r="CS45" s="19">
        <v>226</v>
      </c>
      <c r="DW45" s="52"/>
      <c r="DX45" s="19"/>
      <c r="DY45" s="19"/>
      <c r="DZ45" s="19"/>
      <c r="EA45" s="19"/>
      <c r="EB45" s="19"/>
      <c r="ED45" s="52"/>
      <c r="EE45" s="19"/>
      <c r="EF45" s="19"/>
      <c r="EG45" s="19"/>
      <c r="EH45" s="19"/>
      <c r="EI45" s="19"/>
      <c r="EK45" s="52"/>
      <c r="EL45" s="19"/>
      <c r="EM45" s="19"/>
      <c r="EN45" s="19"/>
      <c r="EO45" s="19"/>
      <c r="EP45" s="19"/>
      <c r="ER45" s="52"/>
      <c r="ES45" s="19"/>
      <c r="ET45" s="19"/>
      <c r="EU45" s="19"/>
      <c r="EV45" s="19"/>
      <c r="EW45" s="19"/>
      <c r="EY45" s="52"/>
      <c r="EZ45" s="19"/>
      <c r="FA45" s="19"/>
      <c r="FB45" s="19"/>
      <c r="FC45" s="19"/>
      <c r="FD45" s="19"/>
      <c r="FF45" s="52"/>
      <c r="FG45" s="19"/>
      <c r="FH45" s="19"/>
      <c r="FI45" s="19"/>
      <c r="FJ45" s="19"/>
      <c r="FK45" s="19"/>
      <c r="FM45" s="52"/>
      <c r="FN45" s="19"/>
      <c r="FO45" s="19"/>
      <c r="FP45" s="19"/>
      <c r="FQ45" s="19"/>
      <c r="FR45" s="19"/>
      <c r="FT45" s="52"/>
      <c r="FU45" s="19"/>
      <c r="FV45" s="19"/>
      <c r="FW45" s="19"/>
      <c r="FX45" s="19"/>
      <c r="FY45" s="19"/>
      <c r="GA45" s="52"/>
      <c r="GB45" s="19"/>
      <c r="GC45" s="19"/>
      <c r="GD45" s="19"/>
      <c r="GE45" s="19"/>
      <c r="GF45" s="19"/>
    </row>
    <row r="46" spans="1:188" x14ac:dyDescent="0.35">
      <c r="A46" s="51">
        <v>429</v>
      </c>
      <c r="B46" s="19">
        <v>149</v>
      </c>
      <c r="C46" s="19">
        <v>153</v>
      </c>
      <c r="D46" s="19">
        <f>C46-B46</f>
        <v>4</v>
      </c>
      <c r="E46" s="19">
        <v>153</v>
      </c>
      <c r="F46" s="19">
        <v>280</v>
      </c>
      <c r="H46" s="51">
        <v>429</v>
      </c>
      <c r="I46" s="19">
        <v>153</v>
      </c>
      <c r="J46" s="19">
        <v>167</v>
      </c>
      <c r="K46" s="19">
        <f>J46-I46</f>
        <v>14</v>
      </c>
      <c r="L46" s="19">
        <v>161</v>
      </c>
      <c r="M46" s="19">
        <v>225</v>
      </c>
      <c r="O46" s="51">
        <v>429</v>
      </c>
      <c r="P46" s="19"/>
      <c r="Q46" s="19"/>
      <c r="R46" s="19"/>
      <c r="S46" s="19"/>
      <c r="T46" s="19"/>
      <c r="V46" s="51">
        <v>429</v>
      </c>
      <c r="W46" s="19"/>
      <c r="X46" s="19"/>
      <c r="Y46" s="19"/>
      <c r="Z46" s="19"/>
      <c r="AA46" s="19"/>
      <c r="AC46" s="51">
        <v>429</v>
      </c>
      <c r="AD46" s="19">
        <v>218</v>
      </c>
      <c r="AE46" s="19">
        <v>225</v>
      </c>
      <c r="AF46" s="19">
        <f>AE46-AD46</f>
        <v>7</v>
      </c>
      <c r="AG46" s="19">
        <v>222</v>
      </c>
      <c r="AH46" s="19">
        <v>270</v>
      </c>
      <c r="AJ46" s="51">
        <v>429</v>
      </c>
      <c r="AK46" s="19"/>
      <c r="AL46" s="19"/>
      <c r="AM46" s="19"/>
      <c r="AN46" s="19"/>
      <c r="AO46" s="19"/>
      <c r="AQ46" s="51">
        <v>429</v>
      </c>
      <c r="AR46" s="19"/>
      <c r="AS46" s="19"/>
      <c r="AT46" s="19"/>
      <c r="AU46" s="19"/>
      <c r="AV46" s="19"/>
      <c r="AX46" s="51">
        <v>429</v>
      </c>
      <c r="AY46" s="19"/>
      <c r="AZ46" s="19"/>
      <c r="BA46" s="19"/>
      <c r="BB46" s="19"/>
      <c r="BC46" s="19"/>
      <c r="BE46" s="51">
        <v>429</v>
      </c>
      <c r="BF46" s="19"/>
      <c r="BG46" s="19"/>
      <c r="BH46" s="19"/>
      <c r="BI46" s="19"/>
      <c r="BJ46" s="19"/>
      <c r="BL46" s="51">
        <v>429</v>
      </c>
      <c r="BM46" s="19"/>
      <c r="BN46" s="19"/>
      <c r="BO46" s="19"/>
      <c r="BP46" s="19"/>
      <c r="BQ46" s="19"/>
      <c r="BS46" s="51">
        <v>429</v>
      </c>
      <c r="BT46" s="19"/>
      <c r="BU46" s="19"/>
      <c r="BV46" s="19"/>
      <c r="BW46" s="19"/>
      <c r="BX46" s="19"/>
      <c r="BZ46" s="51">
        <v>429</v>
      </c>
      <c r="CA46" s="19"/>
      <c r="CB46" s="19"/>
      <c r="CC46" s="19"/>
      <c r="CD46" s="19"/>
      <c r="CE46" s="19"/>
      <c r="CG46" s="51">
        <v>429</v>
      </c>
      <c r="CH46" s="19"/>
      <c r="CI46" s="19"/>
      <c r="CJ46" s="19"/>
      <c r="CK46" s="19"/>
      <c r="CL46" s="19"/>
      <c r="CN46" s="51">
        <v>429</v>
      </c>
      <c r="CO46" s="19">
        <v>369</v>
      </c>
      <c r="CP46" s="19">
        <v>385</v>
      </c>
      <c r="CQ46" s="19">
        <f>CP46-CO46</f>
        <v>16</v>
      </c>
      <c r="CR46" s="19">
        <v>572</v>
      </c>
      <c r="CS46" s="19">
        <v>178</v>
      </c>
      <c r="DW46" s="51">
        <v>429</v>
      </c>
      <c r="DX46" s="19"/>
      <c r="DY46" s="19"/>
      <c r="DZ46" s="19"/>
      <c r="EA46" s="19"/>
      <c r="EB46" s="19"/>
      <c r="ED46" s="51">
        <v>429</v>
      </c>
      <c r="EE46" s="19"/>
      <c r="EF46" s="19"/>
      <c r="EG46" s="19"/>
      <c r="EH46" s="19"/>
      <c r="EI46" s="19"/>
      <c r="EK46" s="51">
        <v>429</v>
      </c>
      <c r="EL46" s="19">
        <v>499</v>
      </c>
      <c r="EM46" s="19">
        <v>507</v>
      </c>
      <c r="EN46" s="19">
        <f>EM46-EL46</f>
        <v>8</v>
      </c>
      <c r="EO46" s="19">
        <v>502</v>
      </c>
      <c r="EP46" s="19">
        <v>191</v>
      </c>
      <c r="ER46" s="51">
        <v>429</v>
      </c>
      <c r="ES46" s="19">
        <v>507</v>
      </c>
      <c r="ET46" s="19">
        <v>513</v>
      </c>
      <c r="EU46" s="19">
        <f>ET46-ES46</f>
        <v>6</v>
      </c>
      <c r="EV46" s="19">
        <v>508</v>
      </c>
      <c r="EW46" s="19">
        <v>150</v>
      </c>
      <c r="EY46" s="51">
        <v>429</v>
      </c>
      <c r="EZ46" s="19"/>
      <c r="FA46" s="19"/>
      <c r="FB46" s="19"/>
      <c r="FC46" s="19"/>
      <c r="FD46" s="19"/>
      <c r="FF46" s="51">
        <v>429</v>
      </c>
      <c r="FG46" s="19">
        <v>528</v>
      </c>
      <c r="FH46" s="19">
        <v>539</v>
      </c>
      <c r="FI46" s="19">
        <f>FH46-FG46</f>
        <v>11</v>
      </c>
      <c r="FJ46" s="19">
        <v>532</v>
      </c>
      <c r="FK46" s="19">
        <v>210</v>
      </c>
      <c r="FM46" s="51">
        <v>429</v>
      </c>
      <c r="FN46" s="19"/>
      <c r="FO46" s="19"/>
      <c r="FP46" s="19"/>
      <c r="FQ46" s="19"/>
      <c r="FR46" s="19"/>
      <c r="FT46" s="51">
        <v>429</v>
      </c>
      <c r="FU46" s="19"/>
      <c r="FV46" s="19"/>
      <c r="FW46" s="19"/>
      <c r="FX46" s="19"/>
      <c r="FY46" s="19"/>
      <c r="GA46" s="51">
        <v>429</v>
      </c>
      <c r="GB46" s="19"/>
      <c r="GC46" s="19"/>
      <c r="GD46" s="19"/>
      <c r="GE46" s="19"/>
      <c r="GF46" s="19"/>
    </row>
    <row r="47" spans="1:188" x14ac:dyDescent="0.35">
      <c r="A47" s="52"/>
      <c r="B47" s="19"/>
      <c r="C47" s="19"/>
      <c r="D47" s="19"/>
      <c r="E47" s="19"/>
      <c r="F47" s="19"/>
      <c r="H47" s="52"/>
      <c r="I47" s="19"/>
      <c r="J47" s="19"/>
      <c r="K47" s="19"/>
      <c r="L47" s="19"/>
      <c r="M47" s="19"/>
      <c r="O47" s="52"/>
      <c r="P47" s="19"/>
      <c r="Q47" s="19"/>
      <c r="R47" s="19"/>
      <c r="S47" s="19"/>
      <c r="T47" s="19"/>
      <c r="V47" s="52"/>
      <c r="W47" s="19">
        <v>197</v>
      </c>
      <c r="X47" s="19">
        <v>207</v>
      </c>
      <c r="Y47" s="19">
        <f>X47-W47</f>
        <v>10</v>
      </c>
      <c r="Z47" s="19">
        <v>201</v>
      </c>
      <c r="AA47" s="19">
        <v>205</v>
      </c>
      <c r="AC47" s="52"/>
      <c r="AD47" s="19"/>
      <c r="AE47" s="19"/>
      <c r="AF47" s="19"/>
      <c r="AG47" s="19"/>
      <c r="AH47" s="19"/>
      <c r="AJ47" s="52"/>
      <c r="AK47" s="19">
        <v>236</v>
      </c>
      <c r="AL47" s="19">
        <v>246</v>
      </c>
      <c r="AM47" s="19">
        <f>AL47-AK47</f>
        <v>10</v>
      </c>
      <c r="AN47" s="19">
        <v>239</v>
      </c>
      <c r="AO47" s="19">
        <v>271</v>
      </c>
      <c r="AQ47" s="52"/>
      <c r="AR47" s="19">
        <v>256</v>
      </c>
      <c r="AS47" s="19">
        <v>266</v>
      </c>
      <c r="AT47" s="19">
        <f>AS47-AR47</f>
        <v>10</v>
      </c>
      <c r="AU47" s="19">
        <v>260</v>
      </c>
      <c r="AV47" s="19">
        <v>262</v>
      </c>
      <c r="AX47" s="52"/>
      <c r="AY47" s="19">
        <v>275</v>
      </c>
      <c r="AZ47" s="19">
        <v>284</v>
      </c>
      <c r="BA47" s="19">
        <f>AZ47-AY47</f>
        <v>9</v>
      </c>
      <c r="BB47" s="19">
        <v>279</v>
      </c>
      <c r="BC47" s="19">
        <v>195</v>
      </c>
      <c r="BE47" s="52"/>
      <c r="BF47" s="19">
        <v>293</v>
      </c>
      <c r="BG47" s="19">
        <v>303</v>
      </c>
      <c r="BH47" s="19">
        <f>BG47-BF47</f>
        <v>10</v>
      </c>
      <c r="BI47" s="19">
        <v>297</v>
      </c>
      <c r="BJ47" s="19">
        <v>240</v>
      </c>
      <c r="BL47" s="52"/>
      <c r="BM47" s="19">
        <v>314</v>
      </c>
      <c r="BN47" s="19">
        <v>323</v>
      </c>
      <c r="BO47" s="19">
        <f>BN47-BM47</f>
        <v>9</v>
      </c>
      <c r="BP47" s="19">
        <v>318</v>
      </c>
      <c r="BQ47" s="19">
        <v>225</v>
      </c>
      <c r="BS47" s="52"/>
      <c r="BT47" s="19"/>
      <c r="BU47" s="19"/>
      <c r="BV47" s="19"/>
      <c r="BW47" s="19"/>
      <c r="BX47" s="19"/>
      <c r="BZ47" s="52"/>
      <c r="CA47" s="19"/>
      <c r="CB47" s="19"/>
      <c r="CC47" s="19"/>
      <c r="CD47" s="19"/>
      <c r="CE47" s="19"/>
      <c r="CG47" s="52"/>
      <c r="CH47" s="19"/>
      <c r="CI47" s="19"/>
      <c r="CJ47" s="19"/>
      <c r="CK47" s="19"/>
      <c r="CL47" s="19"/>
      <c r="CN47" s="52"/>
      <c r="CO47" s="19"/>
      <c r="CP47" s="19"/>
      <c r="CQ47" s="19"/>
      <c r="CR47" s="19">
        <v>579</v>
      </c>
      <c r="CS47" s="19">
        <v>230</v>
      </c>
      <c r="DW47" s="52"/>
      <c r="DX47" s="19"/>
      <c r="DY47" s="19"/>
      <c r="DZ47" s="19"/>
      <c r="EA47" s="19"/>
      <c r="EB47" s="19"/>
      <c r="ED47" s="52"/>
      <c r="EE47" s="19"/>
      <c r="EF47" s="19"/>
      <c r="EG47" s="19"/>
      <c r="EH47" s="19"/>
      <c r="EI47" s="19"/>
      <c r="EK47" s="52"/>
      <c r="EL47" s="19"/>
      <c r="EM47" s="19"/>
      <c r="EN47" s="19"/>
      <c r="EO47" s="19"/>
      <c r="EP47" s="19"/>
      <c r="ER47" s="52"/>
      <c r="ES47" s="19"/>
      <c r="ET47" s="19"/>
      <c r="EU47" s="19"/>
      <c r="EV47" s="19"/>
      <c r="EW47" s="19"/>
      <c r="EY47" s="52"/>
      <c r="EZ47" s="19"/>
      <c r="FA47" s="19"/>
      <c r="FB47" s="19"/>
      <c r="FC47" s="19"/>
      <c r="FD47" s="19"/>
      <c r="FF47" s="52"/>
      <c r="FG47" s="19"/>
      <c r="FH47" s="19"/>
      <c r="FI47" s="19"/>
      <c r="FJ47" s="19"/>
      <c r="FK47" s="19"/>
      <c r="FM47" s="52"/>
      <c r="FN47" s="19"/>
      <c r="FO47" s="19"/>
      <c r="FP47" s="19"/>
      <c r="FQ47" s="19"/>
      <c r="FR47" s="19"/>
      <c r="FT47" s="52"/>
      <c r="FU47" s="19"/>
      <c r="FV47" s="19"/>
      <c r="FW47" s="19"/>
      <c r="FX47" s="19"/>
      <c r="FY47" s="19"/>
      <c r="GA47" s="52"/>
      <c r="GB47" s="19"/>
      <c r="GC47" s="19"/>
      <c r="GD47" s="19"/>
      <c r="GE47" s="19"/>
      <c r="GF47" s="19"/>
    </row>
    <row r="48" spans="1:188" x14ac:dyDescent="0.35">
      <c r="A48" s="51">
        <v>431</v>
      </c>
      <c r="B48" s="19">
        <v>235</v>
      </c>
      <c r="C48" s="19">
        <v>241</v>
      </c>
      <c r="D48" s="19">
        <f>C48-B48</f>
        <v>6</v>
      </c>
      <c r="E48" s="19">
        <v>239</v>
      </c>
      <c r="F48" s="19">
        <v>163</v>
      </c>
      <c r="H48" s="51">
        <v>431</v>
      </c>
      <c r="I48" s="19">
        <v>241</v>
      </c>
      <c r="J48" s="19">
        <v>255</v>
      </c>
      <c r="K48" s="19">
        <f>J48-I48</f>
        <v>14</v>
      </c>
      <c r="L48" s="19">
        <v>249</v>
      </c>
      <c r="M48" s="19">
        <v>195</v>
      </c>
      <c r="O48" s="51">
        <v>431</v>
      </c>
      <c r="P48" s="19">
        <v>255</v>
      </c>
      <c r="Q48" s="19">
        <v>276</v>
      </c>
      <c r="R48" s="19">
        <f>Q48-P48</f>
        <v>21</v>
      </c>
      <c r="S48" s="19">
        <v>259</v>
      </c>
      <c r="T48" s="19">
        <v>203</v>
      </c>
      <c r="V48" s="51">
        <v>431</v>
      </c>
      <c r="W48" s="19">
        <v>276</v>
      </c>
      <c r="X48" s="19">
        <v>295</v>
      </c>
      <c r="Y48" s="19">
        <f>X48-W48</f>
        <v>19</v>
      </c>
      <c r="Z48" s="19">
        <v>280</v>
      </c>
      <c r="AA48" s="19">
        <v>279</v>
      </c>
      <c r="AC48" s="51">
        <v>431</v>
      </c>
      <c r="AD48" s="19">
        <v>295</v>
      </c>
      <c r="AE48" s="19">
        <v>316</v>
      </c>
      <c r="AF48" s="19">
        <f>AE48-AD48</f>
        <v>21</v>
      </c>
      <c r="AG48" s="19"/>
      <c r="AH48" s="19" t="s">
        <v>43</v>
      </c>
      <c r="AJ48" s="51">
        <v>431</v>
      </c>
      <c r="AK48" s="19">
        <v>316</v>
      </c>
      <c r="AL48" s="19">
        <v>337</v>
      </c>
      <c r="AM48" s="19">
        <f>AL48-AK48</f>
        <v>21</v>
      </c>
      <c r="AN48" s="19">
        <v>321</v>
      </c>
      <c r="AO48" s="19">
        <v>196</v>
      </c>
      <c r="AQ48" s="51">
        <v>431</v>
      </c>
      <c r="AR48" s="19">
        <v>337</v>
      </c>
      <c r="AS48" s="19">
        <v>357</v>
      </c>
      <c r="AT48" s="19">
        <f>AS48-AR48</f>
        <v>20</v>
      </c>
      <c r="AU48" s="19">
        <v>342</v>
      </c>
      <c r="AV48" s="19">
        <v>81</v>
      </c>
      <c r="AX48" s="51">
        <v>431</v>
      </c>
      <c r="AY48" s="19"/>
      <c r="AZ48" s="19"/>
      <c r="BA48" s="19"/>
      <c r="BB48" s="19"/>
      <c r="BC48" s="19"/>
      <c r="BE48" s="51">
        <v>431</v>
      </c>
      <c r="BF48" s="19"/>
      <c r="BG48" s="19"/>
      <c r="BH48" s="19"/>
      <c r="BI48" s="19"/>
      <c r="BJ48" s="19"/>
      <c r="BL48" s="51">
        <v>431</v>
      </c>
      <c r="BM48" s="19"/>
      <c r="BN48" s="19"/>
      <c r="BO48" s="19"/>
      <c r="BP48" s="19"/>
      <c r="BQ48" s="19"/>
      <c r="BS48" s="51">
        <v>431</v>
      </c>
      <c r="BT48" s="19"/>
      <c r="BU48" s="19"/>
      <c r="BV48" s="19"/>
      <c r="BW48" s="19"/>
      <c r="BX48" s="19"/>
      <c r="BZ48" s="51">
        <v>431</v>
      </c>
      <c r="CA48" s="19"/>
      <c r="CB48" s="19"/>
      <c r="CC48" s="19"/>
      <c r="CD48" s="19"/>
      <c r="CE48" s="19"/>
      <c r="CG48" s="51">
        <v>431</v>
      </c>
      <c r="CH48" s="19"/>
      <c r="CI48" s="19"/>
      <c r="CJ48" s="19"/>
      <c r="CK48" s="19"/>
      <c r="CL48" s="19"/>
      <c r="CN48" s="51">
        <v>431</v>
      </c>
      <c r="CO48" s="19">
        <v>452</v>
      </c>
      <c r="CP48" s="19">
        <v>468</v>
      </c>
      <c r="CQ48" s="19">
        <f>CP48-CO48</f>
        <v>16</v>
      </c>
      <c r="CR48" s="19">
        <v>456</v>
      </c>
      <c r="CS48" s="19">
        <v>251</v>
      </c>
      <c r="DW48" s="51">
        <v>431</v>
      </c>
      <c r="DX48" s="19"/>
      <c r="DY48" s="19"/>
      <c r="DZ48" s="19"/>
      <c r="EA48" s="19"/>
      <c r="EB48" s="19"/>
      <c r="ED48" s="51">
        <v>431</v>
      </c>
      <c r="EE48" s="19"/>
      <c r="EF48" s="19"/>
      <c r="EG48" s="19"/>
      <c r="EH48" s="19"/>
      <c r="EI48" s="19"/>
      <c r="EK48" s="51">
        <v>431</v>
      </c>
      <c r="EL48" s="19"/>
      <c r="EM48" s="19"/>
      <c r="EN48" s="19"/>
      <c r="EO48" s="19"/>
      <c r="EP48" s="19"/>
      <c r="ER48" s="51">
        <v>431</v>
      </c>
      <c r="ES48" s="19">
        <v>576</v>
      </c>
      <c r="ET48" s="19">
        <v>579</v>
      </c>
      <c r="EU48" s="19">
        <f>ET48-ES48</f>
        <v>3</v>
      </c>
      <c r="EV48" s="19">
        <v>577</v>
      </c>
      <c r="EW48" s="19">
        <v>100</v>
      </c>
      <c r="EY48" s="51">
        <v>431</v>
      </c>
      <c r="EZ48" s="19">
        <v>579</v>
      </c>
      <c r="FA48" s="19">
        <v>592</v>
      </c>
      <c r="FB48" s="19">
        <f>FA48-EZ48</f>
        <v>13</v>
      </c>
      <c r="FC48" s="19">
        <v>583</v>
      </c>
      <c r="FD48" s="19">
        <v>200</v>
      </c>
      <c r="FF48" s="51">
        <v>431</v>
      </c>
      <c r="FG48" s="19">
        <v>592</v>
      </c>
      <c r="FH48" s="19">
        <v>602</v>
      </c>
      <c r="FI48" s="19">
        <f>FH48-FG48</f>
        <v>10</v>
      </c>
      <c r="FJ48" s="19">
        <v>596</v>
      </c>
      <c r="FK48" s="19">
        <v>140</v>
      </c>
      <c r="FM48" s="51">
        <v>431</v>
      </c>
      <c r="FN48" s="19"/>
      <c r="FO48" s="19"/>
      <c r="FP48" s="19"/>
      <c r="FQ48" s="19"/>
      <c r="FR48" s="19"/>
      <c r="FT48" s="51">
        <v>431</v>
      </c>
      <c r="FU48" s="19"/>
      <c r="FV48" s="19"/>
      <c r="FW48" s="19"/>
      <c r="FX48" s="19"/>
      <c r="FY48" s="19"/>
      <c r="GA48" s="51">
        <v>431</v>
      </c>
      <c r="GB48" s="19"/>
      <c r="GC48" s="19"/>
      <c r="GD48" s="19"/>
      <c r="GE48" s="19"/>
      <c r="GF48" s="19"/>
    </row>
    <row r="49" spans="1:188" x14ac:dyDescent="0.35">
      <c r="A49" s="52"/>
      <c r="B49" s="19"/>
      <c r="C49" s="19"/>
      <c r="D49" s="19"/>
      <c r="E49" s="19"/>
      <c r="F49" s="19"/>
      <c r="H49" s="52"/>
      <c r="I49" s="19"/>
      <c r="J49" s="19"/>
      <c r="K49" s="19"/>
      <c r="L49" s="19"/>
      <c r="M49" s="19"/>
      <c r="O49" s="52"/>
      <c r="P49" s="19"/>
      <c r="Q49" s="19"/>
      <c r="R49" s="19"/>
      <c r="S49" s="19">
        <v>269</v>
      </c>
      <c r="T49" s="19">
        <v>210</v>
      </c>
      <c r="V49" s="52"/>
      <c r="W49" s="19"/>
      <c r="X49" s="19"/>
      <c r="Y49" s="19"/>
      <c r="Z49" s="19">
        <v>289</v>
      </c>
      <c r="AA49" s="19">
        <v>279</v>
      </c>
      <c r="AC49" s="52"/>
      <c r="AD49" s="19"/>
      <c r="AE49" s="19"/>
      <c r="AF49" s="19"/>
      <c r="AG49" s="19"/>
      <c r="AH49" s="19"/>
      <c r="AJ49" s="52"/>
      <c r="AK49" s="19"/>
      <c r="AL49" s="19"/>
      <c r="AM49" s="19"/>
      <c r="AN49" s="19">
        <v>331</v>
      </c>
      <c r="AO49" s="19">
        <v>250</v>
      </c>
      <c r="AQ49" s="52"/>
      <c r="AR49" s="19"/>
      <c r="AS49" s="19"/>
      <c r="AT49" s="19"/>
      <c r="AU49" s="19">
        <v>350</v>
      </c>
      <c r="AV49" s="19">
        <v>251</v>
      </c>
      <c r="AX49" s="52"/>
      <c r="AY49" s="19">
        <v>367</v>
      </c>
      <c r="AZ49" s="19">
        <v>374</v>
      </c>
      <c r="BA49" s="19">
        <f>AZ49-AY49</f>
        <v>7</v>
      </c>
      <c r="BB49" s="19">
        <v>371</v>
      </c>
      <c r="BC49" s="19">
        <v>247</v>
      </c>
      <c r="BE49" s="52"/>
      <c r="BF49" s="19">
        <v>383</v>
      </c>
      <c r="BG49" s="19">
        <v>390</v>
      </c>
      <c r="BH49" s="19">
        <f>BG49-BF49</f>
        <v>7</v>
      </c>
      <c r="BI49" s="19">
        <v>384</v>
      </c>
      <c r="BJ49" s="19">
        <v>114</v>
      </c>
      <c r="BL49" s="52"/>
      <c r="BM49" s="19">
        <v>400</v>
      </c>
      <c r="BN49" s="19">
        <v>410</v>
      </c>
      <c r="BO49" s="19">
        <f>BN49-BM49</f>
        <v>10</v>
      </c>
      <c r="BP49" s="19">
        <v>404</v>
      </c>
      <c r="BQ49" s="19">
        <v>170</v>
      </c>
      <c r="BS49" s="52"/>
      <c r="BT49" s="19"/>
      <c r="BU49" s="19"/>
      <c r="BV49" s="19"/>
      <c r="BW49" s="19"/>
      <c r="BX49" s="19"/>
      <c r="BZ49" s="52"/>
      <c r="CA49" s="19"/>
      <c r="CB49" s="19"/>
      <c r="CC49" s="19"/>
      <c r="CD49" s="19"/>
      <c r="CE49" s="19"/>
      <c r="CG49" s="52"/>
      <c r="CH49" s="19"/>
      <c r="CI49" s="19"/>
      <c r="CJ49" s="19"/>
      <c r="CK49" s="19"/>
      <c r="CL49" s="19"/>
      <c r="CN49" s="52"/>
      <c r="CO49" s="19"/>
      <c r="CP49" s="19"/>
      <c r="CQ49" s="19"/>
      <c r="CR49" s="19">
        <v>462</v>
      </c>
      <c r="CS49" s="19">
        <v>180</v>
      </c>
      <c r="DW49" s="52"/>
      <c r="DX49" s="19"/>
      <c r="DY49" s="19"/>
      <c r="DZ49" s="19"/>
      <c r="EA49" s="19"/>
      <c r="EB49" s="19"/>
      <c r="ED49" s="52"/>
      <c r="EE49" s="19"/>
      <c r="EF49" s="19"/>
      <c r="EG49" s="19"/>
      <c r="EH49" s="19"/>
      <c r="EI49" s="19"/>
      <c r="EK49" s="52"/>
      <c r="EL49" s="19"/>
      <c r="EM49" s="19"/>
      <c r="EN49" s="19"/>
      <c r="EO49" s="19"/>
      <c r="EP49" s="19"/>
      <c r="ER49" s="52"/>
      <c r="ES49" s="19"/>
      <c r="ET49" s="19"/>
      <c r="EU49" s="19"/>
      <c r="EV49" s="19"/>
      <c r="EW49" s="19"/>
      <c r="EY49" s="52"/>
      <c r="EZ49" s="19"/>
      <c r="FA49" s="19"/>
      <c r="FB49" s="19"/>
      <c r="FC49" s="19">
        <v>590</v>
      </c>
      <c r="FD49" s="19">
        <v>120</v>
      </c>
      <c r="FF49" s="52"/>
      <c r="FG49" s="19"/>
      <c r="FH49" s="19"/>
      <c r="FI49" s="19"/>
      <c r="FJ49" s="19"/>
      <c r="FK49" s="19"/>
      <c r="FM49" s="52"/>
      <c r="FN49" s="19"/>
      <c r="FO49" s="19"/>
      <c r="FP49" s="19"/>
      <c r="FQ49" s="19"/>
      <c r="FR49" s="19"/>
      <c r="FT49" s="52"/>
      <c r="FU49" s="19"/>
      <c r="FV49" s="19"/>
      <c r="FW49" s="19"/>
      <c r="FX49" s="19"/>
      <c r="FY49" s="19"/>
      <c r="GA49" s="52"/>
      <c r="GB49" s="19"/>
      <c r="GC49" s="19"/>
      <c r="GD49" s="19"/>
      <c r="GE49" s="19"/>
      <c r="GF49" s="19"/>
    </row>
    <row r="50" spans="1:188" x14ac:dyDescent="0.35">
      <c r="A50" s="51">
        <v>432</v>
      </c>
      <c r="B50" s="19"/>
      <c r="C50" s="19"/>
      <c r="D50" s="19"/>
      <c r="E50" s="19"/>
      <c r="F50" s="19"/>
      <c r="H50" s="51">
        <v>432</v>
      </c>
      <c r="I50" s="19"/>
      <c r="J50" s="19"/>
      <c r="K50" s="19"/>
      <c r="L50" s="19"/>
      <c r="M50" s="19"/>
      <c r="O50" s="51">
        <v>432</v>
      </c>
      <c r="P50" s="19"/>
      <c r="Q50" s="19"/>
      <c r="R50" s="19"/>
      <c r="S50" s="19"/>
      <c r="T50" s="19"/>
      <c r="V50" s="51">
        <v>432</v>
      </c>
      <c r="W50" s="19"/>
      <c r="X50" s="19"/>
      <c r="Y50" s="19"/>
      <c r="Z50" s="19"/>
      <c r="AA50" s="19"/>
      <c r="AC50" s="51">
        <v>432</v>
      </c>
      <c r="AD50" s="19"/>
      <c r="AE50" s="19"/>
      <c r="AF50" s="19"/>
      <c r="AG50" s="19"/>
      <c r="AH50" s="19"/>
      <c r="AJ50" s="51">
        <v>432</v>
      </c>
      <c r="AK50" s="19"/>
      <c r="AL50" s="19"/>
      <c r="AM50" s="19"/>
      <c r="AN50" s="19"/>
      <c r="AO50" s="19"/>
      <c r="AQ50" s="51">
        <v>432</v>
      </c>
      <c r="AR50" s="19"/>
      <c r="AS50" s="19"/>
      <c r="AT50" s="19"/>
      <c r="AU50" s="19"/>
      <c r="AV50" s="19"/>
      <c r="AX50" s="51">
        <v>432</v>
      </c>
      <c r="AY50" s="19"/>
      <c r="AZ50" s="19"/>
      <c r="BA50" s="19"/>
      <c r="BB50" s="19"/>
      <c r="BC50" s="19"/>
      <c r="BE50" s="51">
        <v>432</v>
      </c>
      <c r="BF50" s="19"/>
      <c r="BG50" s="19"/>
      <c r="BH50" s="19"/>
      <c r="BI50" s="19"/>
      <c r="BJ50" s="19"/>
      <c r="BL50" s="51">
        <v>432</v>
      </c>
      <c r="BM50" s="19"/>
      <c r="BN50" s="19"/>
      <c r="BO50" s="19"/>
      <c r="BP50" s="19"/>
      <c r="BQ50" s="19"/>
      <c r="BS50" s="51">
        <v>432</v>
      </c>
      <c r="BT50" s="19"/>
      <c r="BU50" s="19"/>
      <c r="BV50" s="19"/>
      <c r="BW50" s="19"/>
      <c r="BX50" s="19"/>
      <c r="BZ50" s="51">
        <v>432</v>
      </c>
      <c r="CA50" s="19"/>
      <c r="CB50" s="19"/>
      <c r="CC50" s="19"/>
      <c r="CD50" s="19"/>
      <c r="CE50" s="19"/>
      <c r="CG50" s="51">
        <v>432</v>
      </c>
      <c r="CH50" s="19"/>
      <c r="CI50" s="19"/>
      <c r="CJ50" s="19"/>
      <c r="CK50" s="19"/>
      <c r="CL50" s="19"/>
      <c r="CN50" s="51">
        <v>432</v>
      </c>
      <c r="CO50" s="19">
        <v>381</v>
      </c>
      <c r="CP50" s="19">
        <v>398</v>
      </c>
      <c r="CQ50" s="19">
        <f>CP50-CO50</f>
        <v>17</v>
      </c>
      <c r="CR50" s="19">
        <v>384</v>
      </c>
      <c r="CS50" s="19">
        <v>328</v>
      </c>
      <c r="DW50" s="51">
        <v>432</v>
      </c>
      <c r="DX50" s="19"/>
      <c r="DY50" s="19"/>
      <c r="DZ50" s="19"/>
      <c r="EA50" s="19"/>
      <c r="EB50" s="19"/>
      <c r="ED50" s="51">
        <v>432</v>
      </c>
      <c r="EE50" s="19"/>
      <c r="EF50" s="19"/>
      <c r="EG50" s="19"/>
      <c r="EH50" s="19"/>
      <c r="EI50" s="19"/>
      <c r="EK50" s="51">
        <v>432</v>
      </c>
      <c r="EL50" s="19">
        <v>504</v>
      </c>
      <c r="EM50" s="19">
        <v>512</v>
      </c>
      <c r="EN50" s="19">
        <f>EM50-EL50</f>
        <v>8</v>
      </c>
      <c r="EO50" s="19">
        <v>508</v>
      </c>
      <c r="EP50" s="19">
        <v>180</v>
      </c>
      <c r="ER50" s="51">
        <v>432</v>
      </c>
      <c r="ES50" s="19">
        <v>512</v>
      </c>
      <c r="ET50" s="19">
        <v>516</v>
      </c>
      <c r="EU50" s="19">
        <f>ET50-ES50</f>
        <v>4</v>
      </c>
      <c r="EV50" s="19">
        <v>514</v>
      </c>
      <c r="EW50" s="19">
        <v>200</v>
      </c>
      <c r="EY50" s="51">
        <v>432</v>
      </c>
      <c r="EZ50" s="19"/>
      <c r="FA50" s="19"/>
      <c r="FB50" s="19"/>
      <c r="FC50" s="19"/>
      <c r="FD50" s="19"/>
      <c r="FF50" s="51">
        <v>432</v>
      </c>
      <c r="FG50" s="19">
        <v>530</v>
      </c>
      <c r="FH50" s="19">
        <v>540</v>
      </c>
      <c r="FI50" s="19">
        <f>FH50-FG50</f>
        <v>10</v>
      </c>
      <c r="FJ50" s="19">
        <v>535</v>
      </c>
      <c r="FK50" s="19">
        <v>250</v>
      </c>
      <c r="FM50" s="51">
        <v>432</v>
      </c>
      <c r="FN50" s="19"/>
      <c r="FO50" s="19"/>
      <c r="FP50" s="19"/>
      <c r="FQ50" s="19"/>
      <c r="FR50" s="19"/>
      <c r="FT50" s="51">
        <v>432</v>
      </c>
      <c r="FU50" s="19"/>
      <c r="FV50" s="19"/>
      <c r="FW50" s="19"/>
      <c r="FX50" s="19"/>
      <c r="FY50" s="19"/>
      <c r="GA50" s="51">
        <v>432</v>
      </c>
      <c r="GB50" s="19"/>
      <c r="GC50" s="19"/>
      <c r="GD50" s="19"/>
      <c r="GE50" s="19"/>
      <c r="GF50" s="19"/>
    </row>
    <row r="51" spans="1:188" x14ac:dyDescent="0.35">
      <c r="A51" s="52"/>
      <c r="B51" s="19"/>
      <c r="C51" s="19"/>
      <c r="D51" s="19"/>
      <c r="E51" s="19"/>
      <c r="F51" s="19"/>
      <c r="H51" s="52"/>
      <c r="I51" s="19">
        <v>175</v>
      </c>
      <c r="J51" s="19">
        <v>182</v>
      </c>
      <c r="K51" s="19">
        <f>J51-I51</f>
        <v>7</v>
      </c>
      <c r="L51" s="19">
        <v>176</v>
      </c>
      <c r="M51" s="19">
        <v>206</v>
      </c>
      <c r="O51" s="52"/>
      <c r="P51" s="19">
        <v>192</v>
      </c>
      <c r="Q51" s="19">
        <v>203</v>
      </c>
      <c r="R51" s="19">
        <f>Q51-P51</f>
        <v>11</v>
      </c>
      <c r="S51" s="19">
        <v>196</v>
      </c>
      <c r="T51" s="19">
        <v>250</v>
      </c>
      <c r="V51" s="52"/>
      <c r="W51" s="19">
        <v>213</v>
      </c>
      <c r="X51" s="19">
        <v>223</v>
      </c>
      <c r="Y51" s="19">
        <f>X51-W51</f>
        <v>10</v>
      </c>
      <c r="Z51" s="19">
        <v>217</v>
      </c>
      <c r="AA51" s="19">
        <v>289</v>
      </c>
      <c r="AC51" s="52"/>
      <c r="AD51" s="19">
        <v>233</v>
      </c>
      <c r="AE51" s="19">
        <v>244</v>
      </c>
      <c r="AF51" s="19">
        <f>AE51-AD51</f>
        <v>11</v>
      </c>
      <c r="AG51" s="19">
        <v>238</v>
      </c>
      <c r="AH51" s="19">
        <v>332</v>
      </c>
      <c r="AJ51" s="52"/>
      <c r="AK51" s="19">
        <v>254</v>
      </c>
      <c r="AL51" s="19">
        <v>264</v>
      </c>
      <c r="AM51" s="19">
        <f>AL51-AK51</f>
        <v>10</v>
      </c>
      <c r="AN51" s="19">
        <v>258</v>
      </c>
      <c r="AO51" s="19">
        <v>262</v>
      </c>
      <c r="AQ51" s="52"/>
      <c r="AR51" s="19">
        <v>274</v>
      </c>
      <c r="AS51" s="19">
        <v>284</v>
      </c>
      <c r="AT51" s="19">
        <f>AS51-AR51</f>
        <v>10</v>
      </c>
      <c r="AU51" s="19">
        <v>279</v>
      </c>
      <c r="AV51" s="19">
        <v>314</v>
      </c>
      <c r="AX51" s="52"/>
      <c r="AY51" s="19">
        <v>295</v>
      </c>
      <c r="AZ51" s="19">
        <v>303</v>
      </c>
      <c r="BA51" s="19">
        <f>AZ51-AY51</f>
        <v>8</v>
      </c>
      <c r="BB51" s="19">
        <v>298</v>
      </c>
      <c r="BC51" s="19">
        <v>250</v>
      </c>
      <c r="BE51" s="52"/>
      <c r="BF51" s="19">
        <v>313</v>
      </c>
      <c r="BG51" s="19">
        <v>320</v>
      </c>
      <c r="BH51" s="19">
        <f>BG51-BF51</f>
        <v>7</v>
      </c>
      <c r="BI51" s="19">
        <v>313</v>
      </c>
      <c r="BJ51" s="19">
        <v>199</v>
      </c>
      <c r="BL51" s="52"/>
      <c r="BM51" s="19">
        <v>330</v>
      </c>
      <c r="BN51" s="19">
        <v>339</v>
      </c>
      <c r="BO51" s="19">
        <f>BN51-BM51</f>
        <v>9</v>
      </c>
      <c r="BP51" s="19">
        <v>334</v>
      </c>
      <c r="BQ51" s="19">
        <v>200</v>
      </c>
      <c r="BS51" s="52"/>
      <c r="BT51" s="19"/>
      <c r="BU51" s="19"/>
      <c r="BV51" s="19"/>
      <c r="BW51" s="19"/>
      <c r="BX51" s="19"/>
      <c r="BZ51" s="52"/>
      <c r="CA51" s="19"/>
      <c r="CB51" s="19"/>
      <c r="CC51" s="19"/>
      <c r="CD51" s="19"/>
      <c r="CE51" s="19"/>
      <c r="CG51" s="52"/>
      <c r="CH51" s="19"/>
      <c r="CI51" s="19"/>
      <c r="CJ51" s="19"/>
      <c r="CK51" s="19"/>
      <c r="CL51" s="19"/>
      <c r="CN51" s="52"/>
      <c r="CO51" s="19"/>
      <c r="CP51" s="19"/>
      <c r="CQ51" s="19"/>
      <c r="CR51" s="19">
        <v>392</v>
      </c>
      <c r="CS51" s="19">
        <v>250</v>
      </c>
      <c r="DW51" s="52"/>
      <c r="DX51" s="19"/>
      <c r="DY51" s="19"/>
      <c r="DZ51" s="19"/>
      <c r="EA51" s="19"/>
      <c r="EB51" s="19"/>
      <c r="ED51" s="52"/>
      <c r="EE51" s="19"/>
      <c r="EF51" s="19"/>
      <c r="EG51" s="19"/>
      <c r="EH51" s="19"/>
      <c r="EI51" s="19"/>
      <c r="EK51" s="52"/>
      <c r="EL51" s="19"/>
      <c r="EM51" s="19"/>
      <c r="EN51" s="19"/>
      <c r="EO51" s="19"/>
      <c r="EP51" s="19"/>
      <c r="ER51" s="52"/>
      <c r="ES51" s="19"/>
      <c r="ET51" s="19"/>
      <c r="EU51" s="19"/>
      <c r="EV51" s="19"/>
      <c r="EW51" s="19"/>
      <c r="EY51" s="52"/>
      <c r="EZ51" s="19"/>
      <c r="FA51" s="19"/>
      <c r="FB51" s="19"/>
      <c r="FC51" s="19"/>
      <c r="FD51" s="19"/>
      <c r="FF51" s="52"/>
      <c r="FG51" s="19"/>
      <c r="FH51" s="19"/>
      <c r="FI51" s="19"/>
      <c r="FJ51" s="19"/>
      <c r="FK51" s="19"/>
      <c r="FM51" s="52"/>
      <c r="FN51" s="19"/>
      <c r="FO51" s="19"/>
      <c r="FP51" s="19"/>
      <c r="FQ51" s="19"/>
      <c r="FR51" s="19"/>
      <c r="FT51" s="52"/>
      <c r="FU51" s="19"/>
      <c r="FV51" s="19"/>
      <c r="FW51" s="19"/>
      <c r="FX51" s="19"/>
      <c r="FY51" s="19"/>
      <c r="GA51" s="52"/>
      <c r="GB51" s="19"/>
      <c r="GC51" s="19"/>
      <c r="GD51" s="19"/>
      <c r="GE51" s="19"/>
      <c r="GF51" s="19"/>
    </row>
    <row r="52" spans="1:188" x14ac:dyDescent="0.35">
      <c r="A52" s="51">
        <v>433</v>
      </c>
      <c r="B52" s="19">
        <v>169</v>
      </c>
      <c r="C52" s="19">
        <v>174</v>
      </c>
      <c r="D52" s="19">
        <f>C52-B52</f>
        <v>5</v>
      </c>
      <c r="E52" s="19">
        <v>173</v>
      </c>
      <c r="F52" s="19">
        <v>175</v>
      </c>
      <c r="H52" s="51">
        <v>433</v>
      </c>
      <c r="I52" s="19">
        <v>174</v>
      </c>
      <c r="J52" s="19">
        <v>188</v>
      </c>
      <c r="K52" s="19">
        <f>J52-I52</f>
        <v>14</v>
      </c>
      <c r="L52" s="19">
        <v>183</v>
      </c>
      <c r="M52" s="19">
        <v>200</v>
      </c>
      <c r="O52" s="51">
        <v>433</v>
      </c>
      <c r="P52" s="19">
        <v>188</v>
      </c>
      <c r="Q52" s="19">
        <v>209</v>
      </c>
      <c r="R52" s="19">
        <f>Q52-P52</f>
        <v>21</v>
      </c>
      <c r="S52" s="19">
        <v>192</v>
      </c>
      <c r="T52" s="19">
        <v>176</v>
      </c>
      <c r="V52" s="51">
        <v>433</v>
      </c>
      <c r="W52" s="19">
        <v>209</v>
      </c>
      <c r="X52" s="19">
        <v>229</v>
      </c>
      <c r="Y52" s="19">
        <f>X52-W52</f>
        <v>20</v>
      </c>
      <c r="Z52" s="19">
        <v>213</v>
      </c>
      <c r="AA52" s="19">
        <v>241</v>
      </c>
      <c r="AC52" s="51">
        <v>433</v>
      </c>
      <c r="AD52" s="19">
        <v>229</v>
      </c>
      <c r="AE52" s="19">
        <v>250</v>
      </c>
      <c r="AF52" s="19">
        <f>AE52-AD52</f>
        <v>21</v>
      </c>
      <c r="AG52" s="19">
        <v>233</v>
      </c>
      <c r="AH52" s="19">
        <v>211</v>
      </c>
      <c r="AJ52" s="51">
        <v>433</v>
      </c>
      <c r="AK52" s="19">
        <v>250</v>
      </c>
      <c r="AL52" s="19">
        <v>271</v>
      </c>
      <c r="AM52" s="19">
        <f>AL52-AK52</f>
        <v>21</v>
      </c>
      <c r="AN52" s="19">
        <v>255</v>
      </c>
      <c r="AO52" s="19">
        <v>163</v>
      </c>
      <c r="AQ52" s="51">
        <v>433</v>
      </c>
      <c r="AR52" s="19">
        <v>71</v>
      </c>
      <c r="AS52" s="19">
        <v>290</v>
      </c>
      <c r="AT52" s="19">
        <f>AS52-AR52</f>
        <v>219</v>
      </c>
      <c r="AU52" s="19">
        <v>275</v>
      </c>
      <c r="AV52" s="19">
        <v>203</v>
      </c>
      <c r="AX52" s="51">
        <v>433</v>
      </c>
      <c r="AY52" s="19"/>
      <c r="AZ52" s="19"/>
      <c r="BA52" s="19"/>
      <c r="BB52" s="19"/>
      <c r="BC52" s="19"/>
      <c r="BE52" s="51">
        <v>433</v>
      </c>
      <c r="BF52" s="19"/>
      <c r="BG52" s="19"/>
      <c r="BH52" s="19"/>
      <c r="BI52" s="19"/>
      <c r="BJ52" s="19"/>
      <c r="BL52" s="51">
        <v>433</v>
      </c>
      <c r="BM52" s="19"/>
      <c r="BN52" s="19"/>
      <c r="BO52" s="19"/>
      <c r="BP52" s="19"/>
      <c r="BQ52" s="19"/>
      <c r="BS52" s="51">
        <v>433</v>
      </c>
      <c r="BT52" s="19"/>
      <c r="BU52" s="19"/>
      <c r="BV52" s="19"/>
      <c r="BW52" s="19"/>
      <c r="BX52" s="19"/>
      <c r="BZ52" s="51">
        <v>433</v>
      </c>
      <c r="CA52" s="19"/>
      <c r="CB52" s="19"/>
      <c r="CC52" s="19"/>
      <c r="CD52" s="19"/>
      <c r="CE52" s="19"/>
      <c r="CG52" s="51">
        <v>433</v>
      </c>
      <c r="CH52" s="19"/>
      <c r="CI52" s="19"/>
      <c r="CJ52" s="19"/>
      <c r="CK52" s="19"/>
      <c r="CL52" s="19"/>
      <c r="CN52" s="51">
        <v>433</v>
      </c>
      <c r="CO52" s="19">
        <v>388</v>
      </c>
      <c r="CP52" s="19">
        <v>404</v>
      </c>
      <c r="CQ52" s="19">
        <f>CP52-CO52</f>
        <v>16</v>
      </c>
      <c r="CR52" s="19">
        <v>391</v>
      </c>
      <c r="CS52" s="19">
        <v>203</v>
      </c>
      <c r="DW52" s="51">
        <v>433</v>
      </c>
      <c r="DX52" s="19"/>
      <c r="DY52" s="19"/>
      <c r="DZ52" s="19"/>
      <c r="EA52" s="19"/>
      <c r="EB52" s="19"/>
      <c r="ED52" s="51">
        <v>433</v>
      </c>
      <c r="EE52" s="19"/>
      <c r="EF52" s="19"/>
      <c r="EG52" s="19"/>
      <c r="EH52" s="19"/>
      <c r="EI52" s="19"/>
      <c r="EK52" s="51">
        <v>433</v>
      </c>
      <c r="EL52" s="19">
        <v>507</v>
      </c>
      <c r="EM52" s="19">
        <v>516</v>
      </c>
      <c r="EN52" s="19">
        <f>EM52-EL52</f>
        <v>9</v>
      </c>
      <c r="EO52" s="19">
        <v>511</v>
      </c>
      <c r="EP52" s="19">
        <v>185</v>
      </c>
      <c r="ER52" s="51">
        <v>433</v>
      </c>
      <c r="ES52" s="19">
        <v>516</v>
      </c>
      <c r="ET52" s="19">
        <v>519</v>
      </c>
      <c r="EU52" s="19">
        <f>ET52-ES52</f>
        <v>3</v>
      </c>
      <c r="EV52" s="19">
        <v>517</v>
      </c>
      <c r="EW52" s="19">
        <v>200</v>
      </c>
      <c r="EY52" s="51">
        <v>433</v>
      </c>
      <c r="EZ52" s="19"/>
      <c r="FA52" s="19"/>
      <c r="FB52" s="19"/>
      <c r="FC52" s="19"/>
      <c r="FD52" s="19"/>
      <c r="FF52" s="51">
        <v>433</v>
      </c>
      <c r="FG52" s="19">
        <v>534</v>
      </c>
      <c r="FH52" s="19">
        <v>545</v>
      </c>
      <c r="FI52" s="19">
        <f>FH52-FG52</f>
        <v>11</v>
      </c>
      <c r="FJ52" s="19">
        <v>539</v>
      </c>
      <c r="FK52" s="19">
        <v>136</v>
      </c>
      <c r="FM52" s="51">
        <v>433</v>
      </c>
      <c r="FN52" s="19"/>
      <c r="FO52" s="19"/>
      <c r="FP52" s="19"/>
      <c r="FQ52" s="19"/>
      <c r="FR52" s="19"/>
      <c r="FT52" s="51">
        <v>433</v>
      </c>
      <c r="FU52" s="19"/>
      <c r="FV52" s="19"/>
      <c r="FW52" s="19"/>
      <c r="FX52" s="19"/>
      <c r="FY52" s="19"/>
      <c r="GA52" s="51">
        <v>433</v>
      </c>
      <c r="GB52" s="19"/>
      <c r="GC52" s="19"/>
      <c r="GD52" s="19"/>
      <c r="GE52" s="19"/>
      <c r="GF52" s="19"/>
    </row>
    <row r="53" spans="1:188" x14ac:dyDescent="0.35">
      <c r="A53" s="52"/>
      <c r="B53" s="19"/>
      <c r="C53" s="19"/>
      <c r="D53" s="19"/>
      <c r="E53" s="19"/>
      <c r="F53" s="19"/>
      <c r="H53" s="52"/>
      <c r="I53" s="19"/>
      <c r="J53" s="19"/>
      <c r="K53" s="19"/>
      <c r="L53" s="19"/>
      <c r="M53" s="19"/>
      <c r="O53" s="52"/>
      <c r="P53" s="19"/>
      <c r="Q53" s="19"/>
      <c r="R53" s="19"/>
      <c r="S53" s="19">
        <v>204</v>
      </c>
      <c r="T53" s="19">
        <v>281</v>
      </c>
      <c r="V53" s="52"/>
      <c r="W53" s="19"/>
      <c r="X53" s="19"/>
      <c r="Y53" s="19"/>
      <c r="Z53" s="19">
        <v>223</v>
      </c>
      <c r="AA53" s="19">
        <v>185</v>
      </c>
      <c r="AC53" s="52"/>
      <c r="AD53" s="19"/>
      <c r="AE53" s="19"/>
      <c r="AF53" s="19"/>
      <c r="AG53" s="19">
        <v>245</v>
      </c>
      <c r="AH53" s="19">
        <v>268</v>
      </c>
      <c r="AJ53" s="52"/>
      <c r="AK53" s="19"/>
      <c r="AL53" s="19"/>
      <c r="AM53" s="19"/>
      <c r="AN53" s="19">
        <v>264</v>
      </c>
      <c r="AO53" s="19">
        <v>192</v>
      </c>
      <c r="AQ53" s="52"/>
      <c r="AR53" s="19"/>
      <c r="AS53" s="19"/>
      <c r="AT53" s="19"/>
      <c r="AU53" s="19">
        <v>285</v>
      </c>
      <c r="AV53" s="19">
        <v>300</v>
      </c>
      <c r="AX53" s="52"/>
      <c r="AY53" s="19">
        <v>301</v>
      </c>
      <c r="AZ53" s="19">
        <v>309</v>
      </c>
      <c r="BA53" s="19">
        <f>AZ53-AY53</f>
        <v>8</v>
      </c>
      <c r="BB53" s="19">
        <v>304</v>
      </c>
      <c r="BC53" s="19">
        <v>215</v>
      </c>
      <c r="BE53" s="52"/>
      <c r="BF53" s="19">
        <v>319</v>
      </c>
      <c r="BG53" s="19">
        <v>326</v>
      </c>
      <c r="BH53" s="19">
        <f>BG53-BF53</f>
        <v>7</v>
      </c>
      <c r="BI53" s="19">
        <v>319</v>
      </c>
      <c r="BJ53" s="19">
        <v>116</v>
      </c>
      <c r="BL53" s="52"/>
      <c r="BM53" s="19">
        <v>336</v>
      </c>
      <c r="BN53" s="19">
        <v>346</v>
      </c>
      <c r="BO53" s="19">
        <f>BN53-BM53</f>
        <v>10</v>
      </c>
      <c r="BP53" s="19">
        <v>341</v>
      </c>
      <c r="BQ53" s="19">
        <v>200</v>
      </c>
      <c r="BS53" s="52"/>
      <c r="BT53" s="19"/>
      <c r="BU53" s="19"/>
      <c r="BV53" s="19"/>
      <c r="BW53" s="19"/>
      <c r="BX53" s="19"/>
      <c r="BZ53" s="52"/>
      <c r="CA53" s="19"/>
      <c r="CB53" s="19"/>
      <c r="CC53" s="19"/>
      <c r="CD53" s="19"/>
      <c r="CE53" s="19"/>
      <c r="CG53" s="52"/>
      <c r="CH53" s="19"/>
      <c r="CI53" s="19"/>
      <c r="CJ53" s="19"/>
      <c r="CK53" s="19"/>
      <c r="CL53" s="19"/>
      <c r="CN53" s="52"/>
      <c r="CO53" s="19"/>
      <c r="CP53" s="19"/>
      <c r="CQ53" s="19"/>
      <c r="CR53" s="19">
        <v>398</v>
      </c>
      <c r="CS53" s="19">
        <v>160</v>
      </c>
      <c r="DW53" s="52"/>
      <c r="DX53" s="19"/>
      <c r="DY53" s="19"/>
      <c r="DZ53" s="19"/>
      <c r="EA53" s="19"/>
      <c r="EB53" s="19"/>
      <c r="ED53" s="52"/>
      <c r="EE53" s="19"/>
      <c r="EF53" s="19"/>
      <c r="EG53" s="19"/>
      <c r="EH53" s="19"/>
      <c r="EI53" s="19"/>
      <c r="EK53" s="52"/>
      <c r="EL53" s="19"/>
      <c r="EM53" s="19"/>
      <c r="EN53" s="19"/>
      <c r="EO53" s="19"/>
      <c r="EP53" s="19"/>
      <c r="ER53" s="52"/>
      <c r="ES53" s="19"/>
      <c r="ET53" s="19"/>
      <c r="EU53" s="19"/>
      <c r="EV53" s="19"/>
      <c r="EW53" s="19"/>
      <c r="EY53" s="52"/>
      <c r="EZ53" s="19"/>
      <c r="FA53" s="19"/>
      <c r="FB53" s="19"/>
      <c r="FC53" s="19"/>
      <c r="FD53" s="19"/>
      <c r="FF53" s="52"/>
      <c r="FG53" s="19"/>
      <c r="FH53" s="19"/>
      <c r="FI53" s="19"/>
      <c r="FJ53" s="19"/>
      <c r="FK53" s="19"/>
      <c r="FM53" s="52"/>
      <c r="FN53" s="19"/>
      <c r="FO53" s="19"/>
      <c r="FP53" s="19"/>
      <c r="FQ53" s="19"/>
      <c r="FR53" s="19"/>
      <c r="FT53" s="52"/>
      <c r="FU53" s="19"/>
      <c r="FV53" s="19"/>
      <c r="FW53" s="19"/>
      <c r="FX53" s="19"/>
      <c r="FY53" s="19"/>
      <c r="GA53" s="52"/>
      <c r="GB53" s="19"/>
      <c r="GC53" s="19"/>
      <c r="GD53" s="19"/>
      <c r="GE53" s="19"/>
      <c r="GF53" s="19"/>
    </row>
  </sheetData>
  <mergeCells count="577">
    <mergeCell ref="AC50:AC51"/>
    <mergeCell ref="AC52:AC53"/>
    <mergeCell ref="A44:A45"/>
    <mergeCell ref="A46:A47"/>
    <mergeCell ref="A48:A49"/>
    <mergeCell ref="A50:A51"/>
    <mergeCell ref="A52:A53"/>
    <mergeCell ref="AC6:AC7"/>
    <mergeCell ref="AC8:AC9"/>
    <mergeCell ref="AC10:AC11"/>
    <mergeCell ref="AC12:AC13"/>
    <mergeCell ref="AC14:AC15"/>
    <mergeCell ref="AC16:AC17"/>
    <mergeCell ref="AC18:AC19"/>
    <mergeCell ref="AC20:AC21"/>
    <mergeCell ref="AC22:AC23"/>
    <mergeCell ref="AC24:AC25"/>
    <mergeCell ref="AC32:AC33"/>
    <mergeCell ref="AC34:AC35"/>
    <mergeCell ref="AC36:AC37"/>
    <mergeCell ref="AC38:AC39"/>
    <mergeCell ref="AC40:AC41"/>
    <mergeCell ref="AC42:AC43"/>
    <mergeCell ref="AC44:AC45"/>
    <mergeCell ref="BS18:BS19"/>
    <mergeCell ref="BS20:BS21"/>
    <mergeCell ref="AC46:AC47"/>
    <mergeCell ref="AC48:AC49"/>
    <mergeCell ref="A20:A21"/>
    <mergeCell ref="A22:A23"/>
    <mergeCell ref="A24:A25"/>
    <mergeCell ref="A32:A33"/>
    <mergeCell ref="A34:A35"/>
    <mergeCell ref="A36:A37"/>
    <mergeCell ref="A38:A39"/>
    <mergeCell ref="A40:A41"/>
    <mergeCell ref="A42:A43"/>
    <mergeCell ref="O38:O39"/>
    <mergeCell ref="O40:O41"/>
    <mergeCell ref="O42:O43"/>
    <mergeCell ref="O44:O45"/>
    <mergeCell ref="O46:O47"/>
    <mergeCell ref="O48:O49"/>
    <mergeCell ref="H24:H25"/>
    <mergeCell ref="BZ1:CE1"/>
    <mergeCell ref="BZ4:BZ5"/>
    <mergeCell ref="BS1:BX1"/>
    <mergeCell ref="BZ12:BZ13"/>
    <mergeCell ref="BZ14:BZ15"/>
    <mergeCell ref="BZ16:BZ17"/>
    <mergeCell ref="BS4:BS5"/>
    <mergeCell ref="BS6:BS7"/>
    <mergeCell ref="BS8:BS9"/>
    <mergeCell ref="BS10:BS11"/>
    <mergeCell ref="BS12:BS13"/>
    <mergeCell ref="BS14:BS15"/>
    <mergeCell ref="BS16:BS17"/>
    <mergeCell ref="AX1:BC1"/>
    <mergeCell ref="AX6:AX7"/>
    <mergeCell ref="AC1:AH1"/>
    <mergeCell ref="CG34:CG35"/>
    <mergeCell ref="A1:F1"/>
    <mergeCell ref="AC4:AC5"/>
    <mergeCell ref="BZ18:BZ19"/>
    <mergeCell ref="AQ1:AV1"/>
    <mergeCell ref="A4:A5"/>
    <mergeCell ref="A6:A7"/>
    <mergeCell ref="A8:A9"/>
    <mergeCell ref="A10:A11"/>
    <mergeCell ref="A12:A13"/>
    <mergeCell ref="A14:A15"/>
    <mergeCell ref="A16:A17"/>
    <mergeCell ref="A18:A19"/>
    <mergeCell ref="AQ4:AQ5"/>
    <mergeCell ref="AQ6:AQ7"/>
    <mergeCell ref="AQ8:AQ9"/>
    <mergeCell ref="AQ10:AQ11"/>
    <mergeCell ref="AQ12:AQ13"/>
    <mergeCell ref="AQ14:AQ15"/>
    <mergeCell ref="AQ16:AQ17"/>
    <mergeCell ref="BZ20:BZ21"/>
    <mergeCell ref="CN32:CN33"/>
    <mergeCell ref="CN34:CN35"/>
    <mergeCell ref="CN36:CN37"/>
    <mergeCell ref="CN38:CN39"/>
    <mergeCell ref="CN40:CN41"/>
    <mergeCell ref="CN42:CN43"/>
    <mergeCell ref="CN44:CN45"/>
    <mergeCell ref="CN46:CN47"/>
    <mergeCell ref="CN48:CN49"/>
    <mergeCell ref="CG46:CG47"/>
    <mergeCell ref="CG48:CG49"/>
    <mergeCell ref="CG44:CG45"/>
    <mergeCell ref="CG40:CG41"/>
    <mergeCell ref="CG1:CL1"/>
    <mergeCell ref="CG32:CG33"/>
    <mergeCell ref="CG38:CG39"/>
    <mergeCell ref="CG42:CG43"/>
    <mergeCell ref="CG36:CG37"/>
    <mergeCell ref="CU1:CZ1"/>
    <mergeCell ref="CU4:CU5"/>
    <mergeCell ref="CU6:CU7"/>
    <mergeCell ref="CU8:CU9"/>
    <mergeCell ref="CU10:CU11"/>
    <mergeCell ref="CU24:CU25"/>
    <mergeCell ref="CN20:CN21"/>
    <mergeCell ref="CN24:CN25"/>
    <mergeCell ref="CN22:CN23"/>
    <mergeCell ref="CN12:CN13"/>
    <mergeCell ref="CU16:CU17"/>
    <mergeCell ref="CU18:CU19"/>
    <mergeCell ref="CU20:CU21"/>
    <mergeCell ref="CU22:CU23"/>
    <mergeCell ref="CU12:CU13"/>
    <mergeCell ref="CU14:CU15"/>
    <mergeCell ref="CN14:CN15"/>
    <mergeCell ref="CN16:CN17"/>
    <mergeCell ref="CN18:CN19"/>
    <mergeCell ref="CN1:CS1"/>
    <mergeCell ref="CN4:CN5"/>
    <mergeCell ref="CN6:CN7"/>
    <mergeCell ref="CN8:CN9"/>
    <mergeCell ref="CN10:CN11"/>
    <mergeCell ref="DB22:DB23"/>
    <mergeCell ref="DB24:DB25"/>
    <mergeCell ref="DI1:DN1"/>
    <mergeCell ref="DI4:DI5"/>
    <mergeCell ref="DI6:DI7"/>
    <mergeCell ref="DI8:DI9"/>
    <mergeCell ref="DI10:DI11"/>
    <mergeCell ref="DI12:DI13"/>
    <mergeCell ref="DI14:DI15"/>
    <mergeCell ref="DI16:DI17"/>
    <mergeCell ref="DI18:DI19"/>
    <mergeCell ref="DI20:DI21"/>
    <mergeCell ref="DI22:DI23"/>
    <mergeCell ref="DI24:DI25"/>
    <mergeCell ref="DB12:DB13"/>
    <mergeCell ref="DB14:DB15"/>
    <mergeCell ref="DB16:DB17"/>
    <mergeCell ref="DB18:DB19"/>
    <mergeCell ref="DB20:DB21"/>
    <mergeCell ref="DB1:DG1"/>
    <mergeCell ref="DB4:DB5"/>
    <mergeCell ref="DB6:DB7"/>
    <mergeCell ref="DB8:DB9"/>
    <mergeCell ref="DB10:DB11"/>
    <mergeCell ref="DP22:DP23"/>
    <mergeCell ref="DP24:DP25"/>
    <mergeCell ref="DW1:EB1"/>
    <mergeCell ref="DW4:DW5"/>
    <mergeCell ref="DW6:DW7"/>
    <mergeCell ref="DW8:DW9"/>
    <mergeCell ref="DW10:DW11"/>
    <mergeCell ref="DW12:DW13"/>
    <mergeCell ref="DW14:DW15"/>
    <mergeCell ref="DW16:DW17"/>
    <mergeCell ref="DW18:DW19"/>
    <mergeCell ref="DW20:DW21"/>
    <mergeCell ref="DW22:DW23"/>
    <mergeCell ref="DW24:DW25"/>
    <mergeCell ref="DP12:DP13"/>
    <mergeCell ref="DP14:DP15"/>
    <mergeCell ref="DP16:DP17"/>
    <mergeCell ref="DP18:DP19"/>
    <mergeCell ref="DP20:DP21"/>
    <mergeCell ref="DP1:DU1"/>
    <mergeCell ref="DP4:DP5"/>
    <mergeCell ref="DP6:DP7"/>
    <mergeCell ref="DP8:DP9"/>
    <mergeCell ref="DP10:DP11"/>
    <mergeCell ref="ED22:ED23"/>
    <mergeCell ref="ED24:ED25"/>
    <mergeCell ref="EK1:EP1"/>
    <mergeCell ref="EK4:EK5"/>
    <mergeCell ref="EK6:EK7"/>
    <mergeCell ref="EK8:EK9"/>
    <mergeCell ref="EK10:EK11"/>
    <mergeCell ref="EK12:EK13"/>
    <mergeCell ref="EK14:EK15"/>
    <mergeCell ref="EK16:EK17"/>
    <mergeCell ref="EK18:EK19"/>
    <mergeCell ref="EK20:EK21"/>
    <mergeCell ref="EK22:EK23"/>
    <mergeCell ref="EK24:EK25"/>
    <mergeCell ref="ED12:ED13"/>
    <mergeCell ref="ED14:ED15"/>
    <mergeCell ref="ED16:ED17"/>
    <mergeCell ref="ED18:ED19"/>
    <mergeCell ref="ED20:ED21"/>
    <mergeCell ref="ED1:EI1"/>
    <mergeCell ref="ED4:ED5"/>
    <mergeCell ref="ED6:ED7"/>
    <mergeCell ref="ED8:ED9"/>
    <mergeCell ref="ED10:ED11"/>
    <mergeCell ref="ER22:ER23"/>
    <mergeCell ref="ER24:ER25"/>
    <mergeCell ref="EY1:FD1"/>
    <mergeCell ref="EY4:EY5"/>
    <mergeCell ref="EY6:EY7"/>
    <mergeCell ref="EY8:EY9"/>
    <mergeCell ref="EY10:EY11"/>
    <mergeCell ref="EY12:EY13"/>
    <mergeCell ref="EY14:EY15"/>
    <mergeCell ref="EY16:EY17"/>
    <mergeCell ref="EY18:EY19"/>
    <mergeCell ref="EY20:EY21"/>
    <mergeCell ref="EY22:EY23"/>
    <mergeCell ref="EY24:EY25"/>
    <mergeCell ref="ER12:ER13"/>
    <mergeCell ref="ER14:ER15"/>
    <mergeCell ref="ER16:ER17"/>
    <mergeCell ref="ER18:ER19"/>
    <mergeCell ref="ER20:ER21"/>
    <mergeCell ref="ER1:EW1"/>
    <mergeCell ref="ER4:ER5"/>
    <mergeCell ref="ER6:ER7"/>
    <mergeCell ref="ER8:ER9"/>
    <mergeCell ref="ER10:ER11"/>
    <mergeCell ref="FF22:FF23"/>
    <mergeCell ref="FF24:FF25"/>
    <mergeCell ref="FM1:FR1"/>
    <mergeCell ref="FM4:FM5"/>
    <mergeCell ref="FM6:FM7"/>
    <mergeCell ref="FM8:FM9"/>
    <mergeCell ref="FM10:FM11"/>
    <mergeCell ref="FM12:FM13"/>
    <mergeCell ref="FM14:FM15"/>
    <mergeCell ref="FM16:FM17"/>
    <mergeCell ref="FM18:FM19"/>
    <mergeCell ref="FM20:FM21"/>
    <mergeCell ref="FM22:FM23"/>
    <mergeCell ref="FM24:FM25"/>
    <mergeCell ref="FF12:FF13"/>
    <mergeCell ref="FF14:FF15"/>
    <mergeCell ref="FF16:FF17"/>
    <mergeCell ref="FF18:FF19"/>
    <mergeCell ref="FF20:FF21"/>
    <mergeCell ref="FF1:FK1"/>
    <mergeCell ref="FF4:FF5"/>
    <mergeCell ref="FF6:FF7"/>
    <mergeCell ref="FF8:FF9"/>
    <mergeCell ref="FF10:FF11"/>
    <mergeCell ref="FT22:FT23"/>
    <mergeCell ref="FT24:FT25"/>
    <mergeCell ref="GA1:GF1"/>
    <mergeCell ref="GA4:GA5"/>
    <mergeCell ref="GA6:GA7"/>
    <mergeCell ref="GA8:GA9"/>
    <mergeCell ref="GA10:GA11"/>
    <mergeCell ref="GA12:GA13"/>
    <mergeCell ref="GA14:GA15"/>
    <mergeCell ref="GA16:GA17"/>
    <mergeCell ref="GA18:GA19"/>
    <mergeCell ref="GA20:GA21"/>
    <mergeCell ref="GA22:GA23"/>
    <mergeCell ref="GA24:GA25"/>
    <mergeCell ref="FT12:FT13"/>
    <mergeCell ref="FT14:FT15"/>
    <mergeCell ref="FT16:FT17"/>
    <mergeCell ref="FT18:FT19"/>
    <mergeCell ref="FT20:FT21"/>
    <mergeCell ref="FT1:FY1"/>
    <mergeCell ref="FT4:FT5"/>
    <mergeCell ref="FT6:FT7"/>
    <mergeCell ref="FT8:FT9"/>
    <mergeCell ref="FT10:FT11"/>
    <mergeCell ref="AQ18:AQ19"/>
    <mergeCell ref="AQ20:AQ21"/>
    <mergeCell ref="AQ22:AQ23"/>
    <mergeCell ref="AQ24:AQ25"/>
    <mergeCell ref="AQ32:AQ33"/>
    <mergeCell ref="AQ34:AQ35"/>
    <mergeCell ref="AQ36:AQ37"/>
    <mergeCell ref="AQ38:AQ39"/>
    <mergeCell ref="AQ40:AQ41"/>
    <mergeCell ref="AQ42:AQ43"/>
    <mergeCell ref="AQ44:AQ45"/>
    <mergeCell ref="AQ46:AQ47"/>
    <mergeCell ref="AQ48:AQ49"/>
    <mergeCell ref="AQ50:AQ51"/>
    <mergeCell ref="AQ52:AQ53"/>
    <mergeCell ref="AX4:AX5"/>
    <mergeCell ref="AX8:AX9"/>
    <mergeCell ref="AX10:AX11"/>
    <mergeCell ref="AX12:AX13"/>
    <mergeCell ref="AX14:AX15"/>
    <mergeCell ref="AX16:AX17"/>
    <mergeCell ref="AX18:AX19"/>
    <mergeCell ref="AX20:AX21"/>
    <mergeCell ref="AX22:AX23"/>
    <mergeCell ref="AX24:AX25"/>
    <mergeCell ref="AX32:AX33"/>
    <mergeCell ref="AX34:AX35"/>
    <mergeCell ref="AX36:AX37"/>
    <mergeCell ref="AX38:AX39"/>
    <mergeCell ref="AX40:AX41"/>
    <mergeCell ref="AX42:AX43"/>
    <mergeCell ref="AX44:AX45"/>
    <mergeCell ref="AX46:AX47"/>
    <mergeCell ref="AX48:AX49"/>
    <mergeCell ref="AX50:AX51"/>
    <mergeCell ref="AX52:AX53"/>
    <mergeCell ref="BS32:BS33"/>
    <mergeCell ref="BS34:BS35"/>
    <mergeCell ref="BS36:BS37"/>
    <mergeCell ref="BS38:BS39"/>
    <mergeCell ref="BS40:BS41"/>
    <mergeCell ref="BS42:BS43"/>
    <mergeCell ref="BS44:BS45"/>
    <mergeCell ref="BS46:BS47"/>
    <mergeCell ref="BS48:BS49"/>
    <mergeCell ref="BS50:BS51"/>
    <mergeCell ref="BS52:BS53"/>
    <mergeCell ref="BL44:BL45"/>
    <mergeCell ref="BL46:BL47"/>
    <mergeCell ref="BL48:BL49"/>
    <mergeCell ref="BL50:BL51"/>
    <mergeCell ref="BL52:BL53"/>
    <mergeCell ref="BZ36:BZ37"/>
    <mergeCell ref="BZ38:BZ39"/>
    <mergeCell ref="BS22:BS23"/>
    <mergeCell ref="BS24:BS25"/>
    <mergeCell ref="BZ32:BZ33"/>
    <mergeCell ref="BZ40:BZ41"/>
    <mergeCell ref="BZ42:BZ43"/>
    <mergeCell ref="BZ44:BZ45"/>
    <mergeCell ref="BZ46:BZ47"/>
    <mergeCell ref="CN50:CN51"/>
    <mergeCell ref="CN52:CN53"/>
    <mergeCell ref="BZ50:BZ51"/>
    <mergeCell ref="BZ52:BZ53"/>
    <mergeCell ref="CG4:CG5"/>
    <mergeCell ref="CG6:CG7"/>
    <mergeCell ref="CG8:CG9"/>
    <mergeCell ref="CG10:CG11"/>
    <mergeCell ref="CG12:CG13"/>
    <mergeCell ref="CG14:CG15"/>
    <mergeCell ref="CG16:CG17"/>
    <mergeCell ref="CG18:CG19"/>
    <mergeCell ref="CG20:CG21"/>
    <mergeCell ref="CG22:CG23"/>
    <mergeCell ref="CG24:CG25"/>
    <mergeCell ref="CG50:CG51"/>
    <mergeCell ref="CG52:CG53"/>
    <mergeCell ref="BZ48:BZ49"/>
    <mergeCell ref="BZ6:BZ7"/>
    <mergeCell ref="BZ8:BZ9"/>
    <mergeCell ref="BZ10:BZ11"/>
    <mergeCell ref="BZ22:BZ23"/>
    <mergeCell ref="BZ24:BZ25"/>
    <mergeCell ref="BZ34:BZ35"/>
    <mergeCell ref="DW50:DW51"/>
    <mergeCell ref="DW52:DW53"/>
    <mergeCell ref="ED32:ED33"/>
    <mergeCell ref="ED34:ED35"/>
    <mergeCell ref="ED36:ED37"/>
    <mergeCell ref="ED38:ED39"/>
    <mergeCell ref="ED40:ED41"/>
    <mergeCell ref="ED42:ED43"/>
    <mergeCell ref="ED44:ED45"/>
    <mergeCell ref="ED46:ED47"/>
    <mergeCell ref="ED48:ED49"/>
    <mergeCell ref="ED50:ED51"/>
    <mergeCell ref="ED52:ED53"/>
    <mergeCell ref="DW32:DW33"/>
    <mergeCell ref="DW34:DW35"/>
    <mergeCell ref="DW36:DW37"/>
    <mergeCell ref="DW38:DW39"/>
    <mergeCell ref="DW40:DW41"/>
    <mergeCell ref="DW42:DW43"/>
    <mergeCell ref="DW44:DW45"/>
    <mergeCell ref="DW46:DW47"/>
    <mergeCell ref="DW48:DW49"/>
    <mergeCell ref="EK50:EK51"/>
    <mergeCell ref="EK52:EK53"/>
    <mergeCell ref="ER32:ER33"/>
    <mergeCell ref="ER34:ER35"/>
    <mergeCell ref="ER36:ER37"/>
    <mergeCell ref="ER38:ER39"/>
    <mergeCell ref="ER40:ER41"/>
    <mergeCell ref="ER42:ER43"/>
    <mergeCell ref="ER44:ER45"/>
    <mergeCell ref="ER46:ER47"/>
    <mergeCell ref="ER48:ER49"/>
    <mergeCell ref="ER50:ER51"/>
    <mergeCell ref="ER52:ER53"/>
    <mergeCell ref="EK32:EK33"/>
    <mergeCell ref="EK34:EK35"/>
    <mergeCell ref="EK36:EK37"/>
    <mergeCell ref="EK38:EK39"/>
    <mergeCell ref="EK40:EK41"/>
    <mergeCell ref="EK42:EK43"/>
    <mergeCell ref="EK44:EK45"/>
    <mergeCell ref="EK46:EK47"/>
    <mergeCell ref="EK48:EK49"/>
    <mergeCell ref="EY50:EY51"/>
    <mergeCell ref="EY52:EY53"/>
    <mergeCell ref="FF32:FF33"/>
    <mergeCell ref="FF34:FF35"/>
    <mergeCell ref="FF36:FF37"/>
    <mergeCell ref="FF38:FF39"/>
    <mergeCell ref="FF40:FF41"/>
    <mergeCell ref="FF42:FF43"/>
    <mergeCell ref="FF44:FF45"/>
    <mergeCell ref="FF46:FF47"/>
    <mergeCell ref="FF48:FF49"/>
    <mergeCell ref="FF50:FF51"/>
    <mergeCell ref="FF52:FF53"/>
    <mergeCell ref="EY32:EY33"/>
    <mergeCell ref="EY34:EY35"/>
    <mergeCell ref="EY36:EY37"/>
    <mergeCell ref="EY38:EY39"/>
    <mergeCell ref="EY40:EY41"/>
    <mergeCell ref="EY42:EY43"/>
    <mergeCell ref="EY44:EY45"/>
    <mergeCell ref="EY46:EY47"/>
    <mergeCell ref="EY48:EY49"/>
    <mergeCell ref="FT40:FT41"/>
    <mergeCell ref="FT42:FT43"/>
    <mergeCell ref="FT44:FT45"/>
    <mergeCell ref="FT46:FT47"/>
    <mergeCell ref="FT48:FT49"/>
    <mergeCell ref="FT50:FT51"/>
    <mergeCell ref="FT52:FT53"/>
    <mergeCell ref="FM32:FM33"/>
    <mergeCell ref="FM34:FM35"/>
    <mergeCell ref="FM36:FM37"/>
    <mergeCell ref="FM38:FM39"/>
    <mergeCell ref="FM40:FM41"/>
    <mergeCell ref="FM42:FM43"/>
    <mergeCell ref="FM44:FM45"/>
    <mergeCell ref="FM46:FM47"/>
    <mergeCell ref="FM48:FM49"/>
    <mergeCell ref="O1:T1"/>
    <mergeCell ref="O4:O5"/>
    <mergeCell ref="O6:O7"/>
    <mergeCell ref="O8:O9"/>
    <mergeCell ref="O10:O11"/>
    <mergeCell ref="O12:O13"/>
    <mergeCell ref="H52:H53"/>
    <mergeCell ref="GA50:GA51"/>
    <mergeCell ref="GA52:GA53"/>
    <mergeCell ref="GA32:GA33"/>
    <mergeCell ref="GA34:GA35"/>
    <mergeCell ref="GA36:GA37"/>
    <mergeCell ref="GA38:GA39"/>
    <mergeCell ref="GA40:GA41"/>
    <mergeCell ref="GA42:GA43"/>
    <mergeCell ref="GA44:GA45"/>
    <mergeCell ref="GA46:GA47"/>
    <mergeCell ref="GA48:GA49"/>
    <mergeCell ref="FM50:FM51"/>
    <mergeCell ref="FM52:FM53"/>
    <mergeCell ref="FT32:FT33"/>
    <mergeCell ref="FT34:FT35"/>
    <mergeCell ref="FT36:FT37"/>
    <mergeCell ref="FT38:FT39"/>
    <mergeCell ref="O14:O15"/>
    <mergeCell ref="O16:O17"/>
    <mergeCell ref="O18:O19"/>
    <mergeCell ref="O20:O21"/>
    <mergeCell ref="O22:O23"/>
    <mergeCell ref="O24:O25"/>
    <mergeCell ref="O32:O33"/>
    <mergeCell ref="O34:O35"/>
    <mergeCell ref="O36:O37"/>
    <mergeCell ref="H20:H21"/>
    <mergeCell ref="H22:H23"/>
    <mergeCell ref="O50:O51"/>
    <mergeCell ref="O52:O53"/>
    <mergeCell ref="V1:AA1"/>
    <mergeCell ref="V4:V5"/>
    <mergeCell ref="V6:V7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V32:V33"/>
    <mergeCell ref="V34:V35"/>
    <mergeCell ref="V36:V37"/>
    <mergeCell ref="V38:V39"/>
    <mergeCell ref="V40:V41"/>
    <mergeCell ref="V42:V43"/>
    <mergeCell ref="V44:V45"/>
    <mergeCell ref="V46:V47"/>
    <mergeCell ref="H1:M1"/>
    <mergeCell ref="H4:H5"/>
    <mergeCell ref="H6:H7"/>
    <mergeCell ref="H8:H9"/>
    <mergeCell ref="H10:H11"/>
    <mergeCell ref="H12:H13"/>
    <mergeCell ref="H14:H15"/>
    <mergeCell ref="H16:H17"/>
    <mergeCell ref="H18:H19"/>
    <mergeCell ref="H34:H35"/>
    <mergeCell ref="H36:H37"/>
    <mergeCell ref="H38:H39"/>
    <mergeCell ref="H40:H41"/>
    <mergeCell ref="H42:H43"/>
    <mergeCell ref="H44:H45"/>
    <mergeCell ref="H46:H47"/>
    <mergeCell ref="H48:H49"/>
    <mergeCell ref="V52:V53"/>
    <mergeCell ref="V48:V49"/>
    <mergeCell ref="V50:V51"/>
    <mergeCell ref="H50:H51"/>
    <mergeCell ref="AJ1:AO1"/>
    <mergeCell ref="AJ4:AJ5"/>
    <mergeCell ref="AJ6:AJ7"/>
    <mergeCell ref="AJ8:AJ9"/>
    <mergeCell ref="AJ10:AJ11"/>
    <mergeCell ref="AJ12:AJ13"/>
    <mergeCell ref="AJ14:AJ15"/>
    <mergeCell ref="AJ16:AJ17"/>
    <mergeCell ref="AJ18:AJ19"/>
    <mergeCell ref="AJ20:AJ21"/>
    <mergeCell ref="AJ22:AJ23"/>
    <mergeCell ref="AJ24:AJ25"/>
    <mergeCell ref="AJ32:AJ33"/>
    <mergeCell ref="AJ34:AJ35"/>
    <mergeCell ref="AJ36:AJ37"/>
    <mergeCell ref="AJ38:AJ39"/>
    <mergeCell ref="AJ40:AJ41"/>
    <mergeCell ref="AJ42:AJ43"/>
    <mergeCell ref="AJ44:AJ45"/>
    <mergeCell ref="AJ46:AJ47"/>
    <mergeCell ref="AJ48:AJ49"/>
    <mergeCell ref="AJ50:AJ51"/>
    <mergeCell ref="H32:H33"/>
    <mergeCell ref="AJ52:AJ53"/>
    <mergeCell ref="BE1:BJ1"/>
    <mergeCell ref="BE4:BE5"/>
    <mergeCell ref="BE6:BE7"/>
    <mergeCell ref="BE8:BE9"/>
    <mergeCell ref="BE10:BE11"/>
    <mergeCell ref="BE12:BE13"/>
    <mergeCell ref="BE14:BE15"/>
    <mergeCell ref="BE16:BE17"/>
    <mergeCell ref="BE18:BE19"/>
    <mergeCell ref="BE20:BE21"/>
    <mergeCell ref="BE22:BE23"/>
    <mergeCell ref="BE24:BE25"/>
    <mergeCell ref="BE32:BE33"/>
    <mergeCell ref="BE34:BE35"/>
    <mergeCell ref="BE36:BE37"/>
    <mergeCell ref="BE38:BE39"/>
    <mergeCell ref="BE40:BE41"/>
    <mergeCell ref="BE42:BE43"/>
    <mergeCell ref="BE44:BE45"/>
    <mergeCell ref="BE46:BE47"/>
    <mergeCell ref="BE48:BE49"/>
    <mergeCell ref="BE50:BE51"/>
    <mergeCell ref="BE52:BE53"/>
    <mergeCell ref="BL1:BQ1"/>
    <mergeCell ref="BL4:BL5"/>
    <mergeCell ref="BL6:BL7"/>
    <mergeCell ref="BL8:BL9"/>
    <mergeCell ref="BL10:BL11"/>
    <mergeCell ref="BL12:BL13"/>
    <mergeCell ref="BL14:BL15"/>
    <mergeCell ref="BL16:BL17"/>
    <mergeCell ref="BL18:BL19"/>
    <mergeCell ref="BL20:BL21"/>
    <mergeCell ref="BL22:BL23"/>
    <mergeCell ref="BL24:BL25"/>
    <mergeCell ref="BL32:BL33"/>
    <mergeCell ref="BL34:BL35"/>
    <mergeCell ref="BL36:BL37"/>
    <mergeCell ref="BL38:BL39"/>
    <mergeCell ref="BL40:BL41"/>
    <mergeCell ref="BL42:BL4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Produktifitas</vt:lpstr>
      <vt:lpstr>FR &amp; FBR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M-S-I</dc:creator>
  <cp:lastModifiedBy>Juli Yandi Rahman</cp:lastModifiedBy>
  <dcterms:created xsi:type="dcterms:W3CDTF">2025-02-15T02:26:48Z</dcterms:created>
  <dcterms:modified xsi:type="dcterms:W3CDTF">2025-04-18T00:08:51Z</dcterms:modified>
</cp:coreProperties>
</file>