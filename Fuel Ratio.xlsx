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5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7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8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9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10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11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drawings/drawing12.xml" ContentType="application/vnd.openxmlformats-officedocument.drawing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drawings/drawing13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Selesai\Project P75240225 (Optimalisasi Fuel Ratio)\"/>
    </mc:Choice>
  </mc:AlternateContent>
  <xr:revisionPtr revIDLastSave="0" documentId="13_ncr:1_{6D7574C1-DC3A-45FE-A11A-3EE306E877A4}" xr6:coauthVersionLast="47" xr6:coauthVersionMax="47" xr10:uidLastSave="{00000000-0000-0000-0000-000000000000}"/>
  <bookViews>
    <workbookView xWindow="-110" yWindow="-110" windowWidth="19420" windowHeight="10300" firstSheet="2" activeTab="2" xr2:uid="{9D4A550B-EBCD-4FA9-9D3E-DDB9B4EFF624}"/>
  </bookViews>
  <sheets>
    <sheet name="Produktivitas" sheetId="1" r:id="rId1"/>
    <sheet name="Fuel Burn" sheetId="2" r:id="rId2"/>
    <sheet name="Fuel Ratio" sheetId="3" r:id="rId3"/>
    <sheet name="Grade" sheetId="4" r:id="rId4"/>
    <sheet name="Parameter" sheetId="5" r:id="rId5"/>
    <sheet name="Kecepatan" sheetId="6" r:id="rId6"/>
    <sheet name="Regresi HT416" sheetId="7" r:id="rId7"/>
    <sheet name="Regresi HT419" sheetId="8" r:id="rId8"/>
    <sheet name="Regresi HT420" sheetId="9" r:id="rId9"/>
    <sheet name="Regresi HT421" sheetId="10" r:id="rId10"/>
    <sheet name="Regresi HT424" sheetId="11" r:id="rId11"/>
    <sheet name="Regresi HT425" sheetId="12" r:id="rId12"/>
    <sheet name="Regresi HT426" sheetId="13" r:id="rId13"/>
    <sheet name="Regresi HT427" sheetId="14" r:id="rId14"/>
    <sheet name="Regresi HT429" sheetId="15" r:id="rId15"/>
    <sheet name="Regresi HT431" sheetId="16" r:id="rId16"/>
    <sheet name="Regresi HT432" sheetId="17" r:id="rId17"/>
    <sheet name="Regresi HT433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2" i="3"/>
  <c r="R17" i="8"/>
  <c r="R16" i="8"/>
  <c r="R15" i="8"/>
  <c r="R14" i="8"/>
  <c r="R13" i="8"/>
  <c r="I3" i="7"/>
  <c r="D12" i="5"/>
  <c r="J2" i="4"/>
  <c r="C2" i="3"/>
  <c r="F2" i="3"/>
  <c r="B3" i="1"/>
  <c r="B4" i="1"/>
  <c r="B5" i="1"/>
  <c r="B6" i="1"/>
  <c r="B7" i="1"/>
  <c r="B8" i="1"/>
  <c r="B9" i="1"/>
  <c r="B10" i="1"/>
  <c r="B11" i="1"/>
  <c r="B12" i="1"/>
  <c r="B13" i="1"/>
  <c r="B2" i="1"/>
  <c r="AD19" i="1" l="1"/>
  <c r="AC19" i="1"/>
  <c r="AB19" i="1"/>
  <c r="O19" i="1"/>
  <c r="N19" i="1"/>
  <c r="M19" i="1"/>
  <c r="AD16" i="1"/>
  <c r="AC16" i="1"/>
  <c r="AB16" i="1"/>
  <c r="O16" i="1"/>
  <c r="N16" i="1"/>
  <c r="M16" i="1"/>
  <c r="AD37" i="1"/>
  <c r="AC37" i="1"/>
  <c r="AB37" i="1"/>
  <c r="O37" i="1"/>
  <c r="N37" i="1"/>
  <c r="M37" i="1"/>
  <c r="AD31" i="1"/>
  <c r="AC31" i="1"/>
  <c r="AB31" i="1"/>
  <c r="O31" i="1"/>
  <c r="N31" i="1"/>
  <c r="M31" i="1"/>
  <c r="AD34" i="1"/>
  <c r="AC34" i="1"/>
  <c r="AB34" i="1"/>
  <c r="O34" i="1"/>
  <c r="N34" i="1"/>
  <c r="M34" i="1"/>
  <c r="AD10" i="1"/>
  <c r="AC10" i="1"/>
  <c r="AB10" i="1"/>
  <c r="O10" i="1"/>
  <c r="N10" i="1"/>
  <c r="M10" i="1"/>
  <c r="AD25" i="1"/>
  <c r="AC25" i="1"/>
  <c r="AB25" i="1"/>
  <c r="O25" i="1"/>
  <c r="N25" i="1"/>
  <c r="M25" i="1"/>
  <c r="AD28" i="1"/>
  <c r="AC28" i="1"/>
  <c r="AB28" i="1"/>
  <c r="O28" i="1"/>
  <c r="N28" i="1"/>
  <c r="M28" i="1"/>
  <c r="AD4" i="1"/>
  <c r="AC4" i="1"/>
  <c r="AB4" i="1"/>
  <c r="O4" i="1"/>
  <c r="N4" i="1"/>
  <c r="M4" i="1"/>
  <c r="AD13" i="1"/>
  <c r="AC13" i="1"/>
  <c r="AB13" i="1"/>
  <c r="O13" i="1"/>
  <c r="N13" i="1"/>
  <c r="M13" i="1"/>
  <c r="AD22" i="1"/>
  <c r="AC22" i="1"/>
  <c r="AB22" i="1"/>
  <c r="O22" i="1"/>
  <c r="N22" i="1"/>
  <c r="M22" i="1"/>
  <c r="AD7" i="1"/>
  <c r="AC7" i="1"/>
  <c r="AB7" i="1"/>
  <c r="O7" i="1"/>
  <c r="N7" i="1"/>
  <c r="M7" i="1"/>
  <c r="AT7" i="18"/>
  <c r="AI7" i="18"/>
  <c r="X7" i="18"/>
  <c r="M7" i="18"/>
  <c r="B7" i="18"/>
  <c r="AT6" i="18"/>
  <c r="AI6" i="18"/>
  <c r="X6" i="18"/>
  <c r="M6" i="18"/>
  <c r="B6" i="18"/>
  <c r="B5" i="18"/>
  <c r="AT4" i="18"/>
  <c r="AI4" i="18"/>
  <c r="X4" i="18"/>
  <c r="M4" i="18"/>
  <c r="B4" i="18"/>
  <c r="AT3" i="18"/>
  <c r="AI3" i="18"/>
  <c r="X3" i="18"/>
  <c r="M3" i="18"/>
  <c r="B3" i="18"/>
  <c r="AT7" i="17"/>
  <c r="AI7" i="17"/>
  <c r="X7" i="17"/>
  <c r="M7" i="17"/>
  <c r="B7" i="17"/>
  <c r="AT6" i="17"/>
  <c r="AI6" i="17"/>
  <c r="X6" i="17"/>
  <c r="M6" i="17"/>
  <c r="B6" i="17"/>
  <c r="B5" i="17"/>
  <c r="AT4" i="17"/>
  <c r="AI4" i="17"/>
  <c r="X4" i="17"/>
  <c r="M4" i="17"/>
  <c r="B4" i="17"/>
  <c r="AT3" i="17"/>
  <c r="AI3" i="17"/>
  <c r="X3" i="17"/>
  <c r="M3" i="17"/>
  <c r="B3" i="17"/>
  <c r="AT7" i="16"/>
  <c r="AI7" i="16"/>
  <c r="X7" i="16"/>
  <c r="M7" i="16"/>
  <c r="B7" i="16"/>
  <c r="AT6" i="16"/>
  <c r="AI6" i="16"/>
  <c r="X6" i="16"/>
  <c r="M6" i="16"/>
  <c r="B6" i="16"/>
  <c r="B5" i="16"/>
  <c r="AT4" i="16"/>
  <c r="AI4" i="16"/>
  <c r="X4" i="16"/>
  <c r="M4" i="16"/>
  <c r="B4" i="16"/>
  <c r="AT3" i="16"/>
  <c r="AI3" i="16"/>
  <c r="X3" i="16"/>
  <c r="M3" i="16"/>
  <c r="B3" i="16"/>
  <c r="AT7" i="15"/>
  <c r="AI7" i="15"/>
  <c r="X7" i="15"/>
  <c r="M7" i="15"/>
  <c r="B7" i="15"/>
  <c r="AT6" i="15"/>
  <c r="AI6" i="15"/>
  <c r="X6" i="15"/>
  <c r="M6" i="15"/>
  <c r="B6" i="15"/>
  <c r="B5" i="15"/>
  <c r="AT4" i="15"/>
  <c r="AI4" i="15"/>
  <c r="X4" i="15"/>
  <c r="M4" i="15"/>
  <c r="B4" i="15"/>
  <c r="AT3" i="15"/>
  <c r="AI3" i="15"/>
  <c r="X3" i="15"/>
  <c r="M3" i="15"/>
  <c r="B3" i="15"/>
  <c r="AT7" i="14"/>
  <c r="AI7" i="14"/>
  <c r="X7" i="14"/>
  <c r="M7" i="14"/>
  <c r="B7" i="14"/>
  <c r="AT6" i="14"/>
  <c r="AI6" i="14"/>
  <c r="X6" i="14"/>
  <c r="M6" i="14"/>
  <c r="B6" i="14"/>
  <c r="B5" i="14"/>
  <c r="AT4" i="14"/>
  <c r="AI4" i="14"/>
  <c r="X4" i="14"/>
  <c r="M4" i="14"/>
  <c r="B4" i="14"/>
  <c r="AT3" i="14"/>
  <c r="AI3" i="14"/>
  <c r="X3" i="14"/>
  <c r="M3" i="14"/>
  <c r="B3" i="14"/>
  <c r="AT7" i="13"/>
  <c r="AI7" i="13"/>
  <c r="X7" i="13"/>
  <c r="M7" i="13"/>
  <c r="B7" i="13"/>
  <c r="AT6" i="13"/>
  <c r="AI6" i="13"/>
  <c r="X6" i="13"/>
  <c r="M6" i="13"/>
  <c r="B6" i="13"/>
  <c r="B5" i="13"/>
  <c r="AT4" i="13"/>
  <c r="AI4" i="13"/>
  <c r="X4" i="13"/>
  <c r="M4" i="13"/>
  <c r="B4" i="13"/>
  <c r="AT3" i="13"/>
  <c r="AI3" i="13"/>
  <c r="X3" i="13"/>
  <c r="M3" i="13"/>
  <c r="B3" i="13"/>
  <c r="AT7" i="12"/>
  <c r="AI7" i="12"/>
  <c r="X7" i="12"/>
  <c r="M7" i="12"/>
  <c r="B7" i="12"/>
  <c r="AT6" i="12"/>
  <c r="AI6" i="12"/>
  <c r="X6" i="12"/>
  <c r="M6" i="12"/>
  <c r="B6" i="12"/>
  <c r="B5" i="12"/>
  <c r="AT4" i="12"/>
  <c r="AI4" i="12"/>
  <c r="X4" i="12"/>
  <c r="M4" i="12"/>
  <c r="B4" i="12"/>
  <c r="AT3" i="12"/>
  <c r="AI3" i="12"/>
  <c r="X3" i="12"/>
  <c r="M3" i="12"/>
  <c r="B3" i="12"/>
  <c r="AT7" i="11"/>
  <c r="AI7" i="11"/>
  <c r="X7" i="11"/>
  <c r="M7" i="11"/>
  <c r="B7" i="11"/>
  <c r="AT6" i="11"/>
  <c r="AI6" i="11"/>
  <c r="X6" i="11"/>
  <c r="M6" i="11"/>
  <c r="B6" i="11"/>
  <c r="B5" i="11"/>
  <c r="AT4" i="11"/>
  <c r="AI4" i="11"/>
  <c r="X4" i="11"/>
  <c r="M4" i="11"/>
  <c r="B4" i="11"/>
  <c r="AT3" i="11"/>
  <c r="AI3" i="11"/>
  <c r="X3" i="11"/>
  <c r="M3" i="11"/>
  <c r="B3" i="11"/>
  <c r="AT7" i="10"/>
  <c r="AI7" i="10"/>
  <c r="X7" i="10"/>
  <c r="M7" i="10"/>
  <c r="B7" i="10"/>
  <c r="AT6" i="10"/>
  <c r="AI6" i="10"/>
  <c r="X6" i="10"/>
  <c r="M6" i="10"/>
  <c r="B6" i="10"/>
  <c r="B5" i="10"/>
  <c r="AT4" i="10"/>
  <c r="AI4" i="10"/>
  <c r="X4" i="10"/>
  <c r="M4" i="10"/>
  <c r="B4" i="10"/>
  <c r="AT3" i="10"/>
  <c r="AI3" i="10"/>
  <c r="X3" i="10"/>
  <c r="M3" i="10"/>
  <c r="B3" i="10"/>
  <c r="AT7" i="9"/>
  <c r="AI7" i="9"/>
  <c r="X7" i="9"/>
  <c r="M7" i="9"/>
  <c r="B7" i="9"/>
  <c r="AT6" i="9"/>
  <c r="AI6" i="9"/>
  <c r="X6" i="9"/>
  <c r="M6" i="9"/>
  <c r="B6" i="9"/>
  <c r="B5" i="9"/>
  <c r="AT4" i="9"/>
  <c r="AI4" i="9"/>
  <c r="X4" i="9"/>
  <c r="M4" i="9"/>
  <c r="B4" i="9"/>
  <c r="AT3" i="9"/>
  <c r="AI3" i="9"/>
  <c r="X3" i="9"/>
  <c r="M3" i="9"/>
  <c r="B3" i="9"/>
  <c r="AT7" i="8"/>
  <c r="AI7" i="8"/>
  <c r="X7" i="8"/>
  <c r="M7" i="8"/>
  <c r="B7" i="8"/>
  <c r="AT6" i="8"/>
  <c r="AI6" i="8"/>
  <c r="X6" i="8"/>
  <c r="M6" i="8"/>
  <c r="B6" i="8"/>
  <c r="B5" i="8"/>
  <c r="AT4" i="8"/>
  <c r="AI4" i="8"/>
  <c r="X4" i="8"/>
  <c r="M4" i="8"/>
  <c r="B4" i="8"/>
  <c r="AT3" i="8"/>
  <c r="AI3" i="8"/>
  <c r="X3" i="8"/>
  <c r="M3" i="8"/>
  <c r="B3" i="8"/>
  <c r="AT7" i="7"/>
  <c r="AT6" i="7"/>
  <c r="AT4" i="7"/>
  <c r="AT3" i="7"/>
  <c r="AI7" i="7"/>
  <c r="AI6" i="7"/>
  <c r="AI4" i="7"/>
  <c r="AI3" i="7"/>
  <c r="X7" i="7"/>
  <c r="X6" i="7"/>
  <c r="X4" i="7"/>
  <c r="X3" i="7"/>
  <c r="M7" i="7"/>
  <c r="M6" i="7"/>
  <c r="M4" i="7"/>
  <c r="M3" i="7"/>
  <c r="P2" i="4"/>
  <c r="Q2" i="4"/>
  <c r="R2" i="4"/>
  <c r="S2" i="4"/>
  <c r="P3" i="4"/>
  <c r="Q3" i="4"/>
  <c r="R3" i="4"/>
  <c r="S3" i="4"/>
  <c r="AV4" i="11" s="1"/>
  <c r="P4" i="4"/>
  <c r="Q4" i="4"/>
  <c r="R4" i="4"/>
  <c r="S4" i="4"/>
  <c r="P5" i="4"/>
  <c r="Q5" i="4"/>
  <c r="R5" i="4"/>
  <c r="S5" i="4"/>
  <c r="P6" i="4"/>
  <c r="Q6" i="4"/>
  <c r="R6" i="4"/>
  <c r="S6" i="4"/>
  <c r="K2" i="4"/>
  <c r="L2" i="4"/>
  <c r="M2" i="4"/>
  <c r="N2" i="4"/>
  <c r="K3" i="4"/>
  <c r="L3" i="4"/>
  <c r="M3" i="4"/>
  <c r="N3" i="4"/>
  <c r="K4" i="4"/>
  <c r="L4" i="4"/>
  <c r="M4" i="4"/>
  <c r="N4" i="4"/>
  <c r="AU5" i="7" s="1"/>
  <c r="K5" i="4"/>
  <c r="L5" i="4"/>
  <c r="M5" i="4"/>
  <c r="N5" i="4"/>
  <c r="K6" i="4"/>
  <c r="L6" i="4"/>
  <c r="M6" i="4"/>
  <c r="N6" i="4"/>
  <c r="H4" i="4"/>
  <c r="G4" i="4"/>
  <c r="F4" i="4"/>
  <c r="E4" i="4"/>
  <c r="I4" i="4"/>
  <c r="O3" i="4"/>
  <c r="O4" i="4"/>
  <c r="O5" i="4"/>
  <c r="D6" i="14" s="1"/>
  <c r="O6" i="4"/>
  <c r="O2" i="4"/>
  <c r="J3" i="4"/>
  <c r="J4" i="4"/>
  <c r="J5" i="4"/>
  <c r="J6" i="4"/>
  <c r="N7" i="13"/>
  <c r="I5" i="4"/>
  <c r="I6" i="4"/>
  <c r="I2" i="4"/>
  <c r="I3" i="4"/>
  <c r="O7" i="11" l="1"/>
  <c r="D5" i="9"/>
  <c r="AV4" i="7"/>
  <c r="O6" i="11"/>
  <c r="C7" i="16"/>
  <c r="Y3" i="8"/>
  <c r="C3" i="15"/>
  <c r="O6" i="10"/>
  <c r="N3" i="13"/>
  <c r="AK4" i="15"/>
  <c r="AU4" i="13"/>
  <c r="AV5" i="18"/>
  <c r="AV3" i="11"/>
  <c r="Y3" i="9"/>
  <c r="AV4" i="10"/>
  <c r="N3" i="11"/>
  <c r="D3" i="14"/>
  <c r="C4" i="9"/>
  <c r="AJ4" i="7"/>
  <c r="AK5" i="9"/>
  <c r="AK3" i="7"/>
  <c r="D5" i="8"/>
  <c r="Y7" i="9"/>
  <c r="N3" i="16"/>
  <c r="N6" i="11"/>
  <c r="C6" i="15"/>
  <c r="O6" i="13"/>
  <c r="N3" i="10"/>
  <c r="O6" i="12"/>
  <c r="C5" i="8"/>
  <c r="Y6" i="9"/>
  <c r="Z7" i="8"/>
  <c r="Z3" i="7"/>
  <c r="Y7" i="8"/>
  <c r="Z7" i="9"/>
  <c r="N7" i="10"/>
  <c r="N3" i="12"/>
  <c r="AV4" i="13"/>
  <c r="N7" i="12"/>
  <c r="D7" i="15"/>
  <c r="N6" i="12"/>
  <c r="O7" i="12"/>
  <c r="O5" i="18"/>
  <c r="N7" i="11"/>
  <c r="AV4" i="12"/>
  <c r="D7" i="14"/>
  <c r="AJ4" i="16"/>
  <c r="AJ4" i="17"/>
  <c r="C4" i="8"/>
  <c r="AV3" i="13"/>
  <c r="AU4" i="14"/>
  <c r="C5" i="9"/>
  <c r="AV3" i="12"/>
  <c r="N6" i="13"/>
  <c r="O7" i="13"/>
  <c r="AJ4" i="18"/>
  <c r="Y6" i="8"/>
  <c r="N6" i="10"/>
  <c r="O7" i="10"/>
  <c r="AU4" i="11"/>
  <c r="C7" i="15"/>
  <c r="AK5" i="8"/>
  <c r="AU4" i="12"/>
  <c r="AU4" i="10"/>
  <c r="AV3" i="10"/>
  <c r="AV3" i="7"/>
  <c r="N7" i="14"/>
  <c r="D3" i="15"/>
  <c r="C4" i="15"/>
  <c r="C4" i="16"/>
  <c r="C3" i="17"/>
  <c r="C4" i="17"/>
  <c r="Y7" i="17"/>
  <c r="Z3" i="18"/>
  <c r="C7" i="18"/>
  <c r="C3" i="7"/>
  <c r="Y5" i="7"/>
  <c r="AU4" i="7"/>
  <c r="Z3" i="8"/>
  <c r="Y4" i="8"/>
  <c r="AU5" i="8"/>
  <c r="Z3" i="9"/>
  <c r="Y4" i="9"/>
  <c r="AU5" i="9"/>
  <c r="O3" i="10"/>
  <c r="O4" i="10"/>
  <c r="Z5" i="10"/>
  <c r="O3" i="11"/>
  <c r="O4" i="11"/>
  <c r="Z5" i="11"/>
  <c r="O3" i="12"/>
  <c r="O4" i="12"/>
  <c r="Z5" i="12"/>
  <c r="O3" i="13"/>
  <c r="O4" i="13"/>
  <c r="Z5" i="13"/>
  <c r="N3" i="14"/>
  <c r="N4" i="14"/>
  <c r="O5" i="14"/>
  <c r="D4" i="15"/>
  <c r="D5" i="15"/>
  <c r="Y6" i="15"/>
  <c r="D4" i="16"/>
  <c r="C5" i="16"/>
  <c r="Y6" i="16"/>
  <c r="D4" i="17"/>
  <c r="C5" i="17"/>
  <c r="Y6" i="17"/>
  <c r="Z7" i="17"/>
  <c r="Y7" i="18"/>
  <c r="AV6" i="18"/>
  <c r="AU5" i="18"/>
  <c r="C5" i="18"/>
  <c r="Z4" i="18"/>
  <c r="Y3" i="18"/>
  <c r="AV7" i="17"/>
  <c r="AU6" i="17"/>
  <c r="O6" i="17"/>
  <c r="AK5" i="17"/>
  <c r="Y4" i="17"/>
  <c r="AV3" i="17"/>
  <c r="AV7" i="16"/>
  <c r="AU6" i="16"/>
  <c r="O6" i="16"/>
  <c r="AK5" i="16"/>
  <c r="Y4" i="16"/>
  <c r="AV3" i="16"/>
  <c r="Y7" i="15"/>
  <c r="AV6" i="15"/>
  <c r="AU5" i="15"/>
  <c r="C5" i="15"/>
  <c r="Z4" i="15"/>
  <c r="Y3" i="15"/>
  <c r="C7" i="14"/>
  <c r="Z6" i="14"/>
  <c r="N5" i="14"/>
  <c r="AJ4" i="14"/>
  <c r="D4" i="14"/>
  <c r="C3" i="14"/>
  <c r="AK7" i="13"/>
  <c r="AJ6" i="13"/>
  <c r="D6" i="13"/>
  <c r="Y5" i="13"/>
  <c r="N4" i="13"/>
  <c r="AK3" i="13"/>
  <c r="AK7" i="12"/>
  <c r="AJ6" i="12"/>
  <c r="D6" i="12"/>
  <c r="Y5" i="12"/>
  <c r="N4" i="12"/>
  <c r="AK3" i="12"/>
  <c r="AK7" i="11"/>
  <c r="AJ6" i="11"/>
  <c r="D6" i="11"/>
  <c r="Y5" i="11"/>
  <c r="N4" i="11"/>
  <c r="AK3" i="11"/>
  <c r="AK7" i="10"/>
  <c r="AJ6" i="10"/>
  <c r="D6" i="10"/>
  <c r="Y5" i="10"/>
  <c r="N4" i="10"/>
  <c r="AK3" i="10"/>
  <c r="AU7" i="9"/>
  <c r="O7" i="9"/>
  <c r="N6" i="9"/>
  <c r="AJ5" i="9"/>
  <c r="AV4" i="9"/>
  <c r="AU3" i="9"/>
  <c r="O3" i="9"/>
  <c r="AU7" i="8"/>
  <c r="O7" i="8"/>
  <c r="N6" i="8"/>
  <c r="AJ5" i="8"/>
  <c r="AV4" i="8"/>
  <c r="AU3" i="8"/>
  <c r="O3" i="8"/>
  <c r="AV5" i="7"/>
  <c r="AK5" i="7"/>
  <c r="Z5" i="7"/>
  <c r="O3" i="7"/>
  <c r="N5" i="7"/>
  <c r="C6" i="18"/>
  <c r="AJ3" i="18"/>
  <c r="C7" i="17"/>
  <c r="AV7" i="18"/>
  <c r="AU6" i="18"/>
  <c r="O6" i="18"/>
  <c r="AK5" i="18"/>
  <c r="Y4" i="18"/>
  <c r="AV3" i="18"/>
  <c r="AU7" i="17"/>
  <c r="O7" i="17"/>
  <c r="N6" i="17"/>
  <c r="AJ5" i="17"/>
  <c r="AV4" i="17"/>
  <c r="AU3" i="17"/>
  <c r="O3" i="17"/>
  <c r="AU7" i="16"/>
  <c r="O7" i="16"/>
  <c r="N6" i="16"/>
  <c r="AJ5" i="16"/>
  <c r="AV4" i="16"/>
  <c r="AU3" i="16"/>
  <c r="O3" i="16"/>
  <c r="AV7" i="15"/>
  <c r="AU6" i="15"/>
  <c r="O6" i="15"/>
  <c r="AK5" i="15"/>
  <c r="Y4" i="15"/>
  <c r="AV3" i="15"/>
  <c r="Z7" i="14"/>
  <c r="Y6" i="14"/>
  <c r="AV5" i="14"/>
  <c r="D5" i="14"/>
  <c r="C4" i="14"/>
  <c r="Z3" i="14"/>
  <c r="AJ7" i="13"/>
  <c r="D7" i="13"/>
  <c r="C6" i="13"/>
  <c r="O5" i="13"/>
  <c r="AK4" i="13"/>
  <c r="AJ3" i="13"/>
  <c r="D3" i="13"/>
  <c r="AJ7" i="12"/>
  <c r="D7" i="12"/>
  <c r="C6" i="12"/>
  <c r="O5" i="12"/>
  <c r="AK4" i="12"/>
  <c r="AJ3" i="12"/>
  <c r="D3" i="12"/>
  <c r="AJ7" i="11"/>
  <c r="D7" i="11"/>
  <c r="C6" i="11"/>
  <c r="O5" i="11"/>
  <c r="AK4" i="11"/>
  <c r="AJ3" i="11"/>
  <c r="D3" i="11"/>
  <c r="AJ7" i="10"/>
  <c r="D7" i="10"/>
  <c r="C6" i="10"/>
  <c r="O5" i="10"/>
  <c r="AK4" i="10"/>
  <c r="AJ3" i="10"/>
  <c r="D3" i="10"/>
  <c r="N7" i="9"/>
  <c r="AK6" i="9"/>
  <c r="Z5" i="9"/>
  <c r="AU4" i="9"/>
  <c r="O4" i="9"/>
  <c r="N3" i="9"/>
  <c r="N7" i="8"/>
  <c r="AK6" i="8"/>
  <c r="Z5" i="8"/>
  <c r="AU4" i="8"/>
  <c r="O4" i="8"/>
  <c r="N3" i="8"/>
  <c r="AU6" i="7"/>
  <c r="AJ6" i="7"/>
  <c r="Y6" i="7"/>
  <c r="D3" i="7"/>
  <c r="O5" i="7"/>
  <c r="AK4" i="18"/>
  <c r="AU7" i="18"/>
  <c r="O7" i="18"/>
  <c r="N6" i="18"/>
  <c r="AJ5" i="18"/>
  <c r="AV4" i="18"/>
  <c r="AU3" i="18"/>
  <c r="O3" i="18"/>
  <c r="N7" i="17"/>
  <c r="AK6" i="17"/>
  <c r="Z5" i="17"/>
  <c r="AU4" i="17"/>
  <c r="O4" i="17"/>
  <c r="N3" i="17"/>
  <c r="N7" i="16"/>
  <c r="AK6" i="16"/>
  <c r="Z5" i="16"/>
  <c r="AU4" i="16"/>
  <c r="O4" i="16"/>
  <c r="AU7" i="15"/>
  <c r="O7" i="15"/>
  <c r="N6" i="15"/>
  <c r="AJ5" i="15"/>
  <c r="AV4" i="15"/>
  <c r="AU3" i="15"/>
  <c r="O3" i="15"/>
  <c r="Y7" i="14"/>
  <c r="AV6" i="14"/>
  <c r="AU5" i="14"/>
  <c r="C5" i="14"/>
  <c r="Z4" i="14"/>
  <c r="Y3" i="14"/>
  <c r="C7" i="13"/>
  <c r="Z6" i="13"/>
  <c r="N5" i="13"/>
  <c r="AJ4" i="13"/>
  <c r="D4" i="13"/>
  <c r="C3" i="13"/>
  <c r="C7" i="12"/>
  <c r="Z6" i="12"/>
  <c r="N5" i="12"/>
  <c r="AJ4" i="12"/>
  <c r="D4" i="12"/>
  <c r="C3" i="12"/>
  <c r="C7" i="11"/>
  <c r="Z6" i="11"/>
  <c r="N5" i="11"/>
  <c r="AJ4" i="11"/>
  <c r="D4" i="11"/>
  <c r="C3" i="11"/>
  <c r="C7" i="10"/>
  <c r="Z6" i="10"/>
  <c r="N5" i="10"/>
  <c r="AJ4" i="10"/>
  <c r="D4" i="10"/>
  <c r="C3" i="10"/>
  <c r="AK7" i="9"/>
  <c r="AJ6" i="9"/>
  <c r="D6" i="9"/>
  <c r="Y5" i="9"/>
  <c r="N4" i="9"/>
  <c r="AK3" i="9"/>
  <c r="AK7" i="8"/>
  <c r="AJ6" i="8"/>
  <c r="D6" i="8"/>
  <c r="Y5" i="8"/>
  <c r="N4" i="8"/>
  <c r="AK3" i="8"/>
  <c r="AV6" i="7"/>
  <c r="AK6" i="7"/>
  <c r="Z6" i="7"/>
  <c r="AU3" i="7"/>
  <c r="N6" i="7"/>
  <c r="D3" i="18"/>
  <c r="N7" i="18"/>
  <c r="AK6" i="18"/>
  <c r="Z5" i="18"/>
  <c r="AU4" i="18"/>
  <c r="O4" i="18"/>
  <c r="N3" i="18"/>
  <c r="AK7" i="17"/>
  <c r="AJ6" i="17"/>
  <c r="D6" i="17"/>
  <c r="Y5" i="17"/>
  <c r="N4" i="17"/>
  <c r="AK3" i="17"/>
  <c r="AK7" i="16"/>
  <c r="AJ6" i="16"/>
  <c r="D6" i="16"/>
  <c r="Y5" i="16"/>
  <c r="N4" i="16"/>
  <c r="AK3" i="16"/>
  <c r="D3" i="16"/>
  <c r="N7" i="15"/>
  <c r="AK6" i="15"/>
  <c r="Z5" i="15"/>
  <c r="AU4" i="15"/>
  <c r="O4" i="15"/>
  <c r="N3" i="15"/>
  <c r="AV7" i="14"/>
  <c r="AU6" i="14"/>
  <c r="O6" i="14"/>
  <c r="AK5" i="14"/>
  <c r="Y4" i="14"/>
  <c r="AV3" i="14"/>
  <c r="Z7" i="13"/>
  <c r="Y6" i="13"/>
  <c r="AV5" i="13"/>
  <c r="D5" i="13"/>
  <c r="C4" i="13"/>
  <c r="Z3" i="13"/>
  <c r="Z7" i="12"/>
  <c r="Y6" i="12"/>
  <c r="AV5" i="12"/>
  <c r="D5" i="12"/>
  <c r="C4" i="12"/>
  <c r="Z3" i="12"/>
  <c r="Z7" i="11"/>
  <c r="Y6" i="11"/>
  <c r="AV5" i="11"/>
  <c r="D5" i="11"/>
  <c r="C4" i="11"/>
  <c r="Z3" i="11"/>
  <c r="Z7" i="10"/>
  <c r="Y6" i="10"/>
  <c r="AV5" i="10"/>
  <c r="D5" i="10"/>
  <c r="C4" i="10"/>
  <c r="Z3" i="10"/>
  <c r="AJ7" i="9"/>
  <c r="D7" i="9"/>
  <c r="C6" i="9"/>
  <c r="O5" i="9"/>
  <c r="AK4" i="9"/>
  <c r="AJ3" i="9"/>
  <c r="D3" i="9"/>
  <c r="AJ7" i="8"/>
  <c r="D7" i="8"/>
  <c r="C6" i="8"/>
  <c r="O5" i="8"/>
  <c r="AK4" i="8"/>
  <c r="AJ3" i="8"/>
  <c r="D3" i="8"/>
  <c r="AU7" i="7"/>
  <c r="AJ7" i="7"/>
  <c r="Y7" i="7"/>
  <c r="AJ3" i="7"/>
  <c r="O6" i="7"/>
  <c r="D7" i="18"/>
  <c r="Z6" i="17"/>
  <c r="AK7" i="18"/>
  <c r="AJ6" i="18"/>
  <c r="D6" i="18"/>
  <c r="Y5" i="18"/>
  <c r="N4" i="18"/>
  <c r="AK3" i="18"/>
  <c r="AJ7" i="17"/>
  <c r="D7" i="17"/>
  <c r="C6" i="17"/>
  <c r="O5" i="17"/>
  <c r="AK4" i="17"/>
  <c r="AJ3" i="17"/>
  <c r="D3" i="17"/>
  <c r="AJ7" i="16"/>
  <c r="D7" i="16"/>
  <c r="C6" i="16"/>
  <c r="O5" i="16"/>
  <c r="AK4" i="16"/>
  <c r="AJ3" i="16"/>
  <c r="C3" i="16"/>
  <c r="AK7" i="15"/>
  <c r="AJ6" i="15"/>
  <c r="D6" i="15"/>
  <c r="Y5" i="15"/>
  <c r="N4" i="15"/>
  <c r="AK3" i="15"/>
  <c r="AU7" i="14"/>
  <c r="O7" i="14"/>
  <c r="N6" i="14"/>
  <c r="AJ5" i="14"/>
  <c r="AV4" i="14"/>
  <c r="AU3" i="14"/>
  <c r="O3" i="14"/>
  <c r="Y7" i="13"/>
  <c r="AV6" i="13"/>
  <c r="AU5" i="13"/>
  <c r="C5" i="13"/>
  <c r="Z4" i="13"/>
  <c r="Y3" i="13"/>
  <c r="Y7" i="12"/>
  <c r="AV6" i="12"/>
  <c r="AU5" i="12"/>
  <c r="C5" i="12"/>
  <c r="Z4" i="12"/>
  <c r="Y3" i="12"/>
  <c r="Y7" i="11"/>
  <c r="AV6" i="11"/>
  <c r="AU5" i="11"/>
  <c r="C5" i="11"/>
  <c r="Z4" i="11"/>
  <c r="Y3" i="11"/>
  <c r="Y7" i="10"/>
  <c r="AV6" i="10"/>
  <c r="AU5" i="10"/>
  <c r="C5" i="10"/>
  <c r="Z4" i="10"/>
  <c r="Y3" i="10"/>
  <c r="C7" i="9"/>
  <c r="Z6" i="9"/>
  <c r="N5" i="9"/>
  <c r="AJ4" i="9"/>
  <c r="D4" i="9"/>
  <c r="C3" i="9"/>
  <c r="C7" i="8"/>
  <c r="Z6" i="8"/>
  <c r="N5" i="8"/>
  <c r="AJ4" i="8"/>
  <c r="D4" i="8"/>
  <c r="C3" i="8"/>
  <c r="AV7" i="7"/>
  <c r="AK7" i="7"/>
  <c r="Z7" i="7"/>
  <c r="Y3" i="7"/>
  <c r="N7" i="7"/>
  <c r="AJ7" i="18"/>
  <c r="O7" i="7"/>
  <c r="Z4" i="7"/>
  <c r="Z4" i="8"/>
  <c r="AV5" i="8"/>
  <c r="AU6" i="8"/>
  <c r="Z4" i="9"/>
  <c r="AV5" i="9"/>
  <c r="AU6" i="9"/>
  <c r="AJ5" i="10"/>
  <c r="AK6" i="10"/>
  <c r="AJ5" i="11"/>
  <c r="AK6" i="11"/>
  <c r="AJ5" i="12"/>
  <c r="AK6" i="12"/>
  <c r="AJ5" i="13"/>
  <c r="AK6" i="13"/>
  <c r="O4" i="14"/>
  <c r="Y5" i="14"/>
  <c r="AJ6" i="14"/>
  <c r="N5" i="15"/>
  <c r="Z6" i="15"/>
  <c r="Z7" i="15"/>
  <c r="D5" i="16"/>
  <c r="Z6" i="16"/>
  <c r="Y7" i="16"/>
  <c r="D5" i="17"/>
  <c r="Y4" i="7"/>
  <c r="AV6" i="8"/>
  <c r="AV7" i="9"/>
  <c r="AK5" i="10"/>
  <c r="Y4" i="11"/>
  <c r="AK5" i="11"/>
  <c r="Y4" i="12"/>
  <c r="AK5" i="12"/>
  <c r="Y4" i="13"/>
  <c r="AK5" i="13"/>
  <c r="Z5" i="14"/>
  <c r="AK6" i="14"/>
  <c r="AJ7" i="14"/>
  <c r="Z3" i="15"/>
  <c r="O5" i="15"/>
  <c r="Y3" i="16"/>
  <c r="N5" i="16"/>
  <c r="Z7" i="16"/>
  <c r="Y3" i="17"/>
  <c r="N5" i="17"/>
  <c r="Y6" i="18"/>
  <c r="Z7" i="18"/>
  <c r="AV8" i="7"/>
  <c r="AV6" i="9"/>
  <c r="AU6" i="10"/>
  <c r="AU7" i="11"/>
  <c r="AU7" i="12"/>
  <c r="AU6" i="13"/>
  <c r="AU7" i="13"/>
  <c r="AJ3" i="14"/>
  <c r="AK7" i="14"/>
  <c r="AV5" i="15"/>
  <c r="AJ7" i="15"/>
  <c r="Z3" i="16"/>
  <c r="Z4" i="16"/>
  <c r="AU5" i="16"/>
  <c r="Z3" i="17"/>
  <c r="Z4" i="17"/>
  <c r="AU5" i="17"/>
  <c r="AV6" i="17"/>
  <c r="C4" i="18"/>
  <c r="D5" i="18"/>
  <c r="Z6" i="18"/>
  <c r="O4" i="7"/>
  <c r="AV7" i="8"/>
  <c r="Y4" i="10"/>
  <c r="N4" i="7"/>
  <c r="AJ5" i="7"/>
  <c r="AV3" i="8"/>
  <c r="AV3" i="9"/>
  <c r="AU7" i="10"/>
  <c r="AU6" i="11"/>
  <c r="AU6" i="12"/>
  <c r="N3" i="7"/>
  <c r="AK4" i="7"/>
  <c r="O6" i="8"/>
  <c r="O6" i="9"/>
  <c r="AU3" i="10"/>
  <c r="AV7" i="10"/>
  <c r="AU3" i="11"/>
  <c r="AV7" i="11"/>
  <c r="AU3" i="12"/>
  <c r="AV7" i="12"/>
  <c r="AU3" i="13"/>
  <c r="AV7" i="13"/>
  <c r="AK3" i="14"/>
  <c r="AK4" i="14"/>
  <c r="C6" i="14"/>
  <c r="AJ3" i="15"/>
  <c r="AJ4" i="15"/>
  <c r="AV5" i="16"/>
  <c r="AV6" i="16"/>
  <c r="AV5" i="17"/>
  <c r="C3" i="18"/>
  <c r="D4" i="18"/>
  <c r="N5" i="18"/>
  <c r="C5" i="7"/>
  <c r="D7" i="7"/>
  <c r="AE22" i="1"/>
  <c r="AF22" i="1" s="1"/>
  <c r="B8" i="3" s="1"/>
  <c r="AE37" i="1"/>
  <c r="AF37" i="1" s="1"/>
  <c r="B13" i="3" s="1"/>
  <c r="P13" i="1"/>
  <c r="Q13" i="1" s="1"/>
  <c r="C5" i="3" s="1"/>
  <c r="P10" i="1"/>
  <c r="Q10" i="1" s="1"/>
  <c r="C4" i="3" s="1"/>
  <c r="AE19" i="1"/>
  <c r="AF19" i="1" s="1"/>
  <c r="B7" i="3" s="1"/>
  <c r="AE10" i="1"/>
  <c r="AF10" i="1" s="1"/>
  <c r="B4" i="3" s="1"/>
  <c r="AE28" i="1"/>
  <c r="AF28" i="1" s="1"/>
  <c r="B10" i="3" s="1"/>
  <c r="AE25" i="1"/>
  <c r="AF25" i="1" s="1"/>
  <c r="B9" i="3" s="1"/>
  <c r="AE31" i="1"/>
  <c r="AF31" i="1" s="1"/>
  <c r="B11" i="3" s="1"/>
  <c r="P16" i="1"/>
  <c r="Q16" i="1" s="1"/>
  <c r="C6" i="3" s="1"/>
  <c r="P31" i="1"/>
  <c r="Q31" i="1" s="1"/>
  <c r="C11" i="3" s="1"/>
  <c r="P22" i="1"/>
  <c r="Q22" i="1" s="1"/>
  <c r="C8" i="3" s="1"/>
  <c r="P4" i="1"/>
  <c r="Q4" i="1" s="1"/>
  <c r="P7" i="1"/>
  <c r="AE4" i="1"/>
  <c r="AF4" i="1" s="1"/>
  <c r="B2" i="3" s="1"/>
  <c r="P25" i="1"/>
  <c r="Q25" i="1" s="1"/>
  <c r="C9" i="3" s="1"/>
  <c r="P34" i="1"/>
  <c r="Q34" i="1" s="1"/>
  <c r="C12" i="3" s="1"/>
  <c r="P19" i="1"/>
  <c r="Q19" i="1" s="1"/>
  <c r="C7" i="3" s="1"/>
  <c r="AE34" i="1"/>
  <c r="AF34" i="1" s="1"/>
  <c r="B12" i="3" s="1"/>
  <c r="P37" i="1"/>
  <c r="Q37" i="1" s="1"/>
  <c r="C13" i="3" s="1"/>
  <c r="AE7" i="1"/>
  <c r="AF7" i="1" s="1"/>
  <c r="AE13" i="1"/>
  <c r="AF13" i="1" s="1"/>
  <c r="B5" i="3" s="1"/>
  <c r="P28" i="1"/>
  <c r="Q28" i="1" s="1"/>
  <c r="C10" i="3" s="1"/>
  <c r="AE16" i="1"/>
  <c r="AF16" i="1" s="1"/>
  <c r="B6" i="3" s="1"/>
  <c r="B4" i="7"/>
  <c r="B6" i="7"/>
  <c r="B5" i="7"/>
  <c r="C6" i="7"/>
  <c r="B3" i="7"/>
  <c r="B7" i="7"/>
  <c r="C4" i="7"/>
  <c r="D6" i="7"/>
  <c r="D5" i="7"/>
  <c r="C7" i="7"/>
  <c r="D4" i="7"/>
  <c r="G3" i="3"/>
  <c r="G4" i="3"/>
  <c r="G5" i="3"/>
  <c r="G6" i="3"/>
  <c r="G7" i="3"/>
  <c r="G8" i="3"/>
  <c r="G9" i="3"/>
  <c r="G10" i="3"/>
  <c r="G11" i="3"/>
  <c r="G12" i="3"/>
  <c r="G13" i="3"/>
  <c r="G2" i="3"/>
  <c r="AV8" i="10" l="1"/>
  <c r="AV8" i="17"/>
  <c r="N8" i="10"/>
  <c r="AV8" i="13"/>
  <c r="N8" i="13"/>
  <c r="AK8" i="12"/>
  <c r="D8" i="15"/>
  <c r="AJ8" i="17"/>
  <c r="C8" i="15"/>
  <c r="C8" i="17"/>
  <c r="Y8" i="9"/>
  <c r="N8" i="7"/>
  <c r="O8" i="10"/>
  <c r="N9" i="10" s="1"/>
  <c r="AV8" i="18"/>
  <c r="D8" i="14"/>
  <c r="AK8" i="15"/>
  <c r="AJ8" i="18"/>
  <c r="D8" i="9"/>
  <c r="C8" i="10"/>
  <c r="AV8" i="11"/>
  <c r="AJ8" i="16"/>
  <c r="Z8" i="8"/>
  <c r="AJ8" i="12"/>
  <c r="AJ9" i="12" s="1"/>
  <c r="AK8" i="13"/>
  <c r="Y8" i="18"/>
  <c r="AJ8" i="8"/>
  <c r="AK8" i="10"/>
  <c r="N8" i="12"/>
  <c r="AU8" i="10"/>
  <c r="AV8" i="8"/>
  <c r="Y8" i="10"/>
  <c r="AV8" i="12"/>
  <c r="D8" i="8"/>
  <c r="AJ8" i="9"/>
  <c r="AK8" i="14"/>
  <c r="AU8" i="18"/>
  <c r="O8" i="7"/>
  <c r="N9" i="7" s="1"/>
  <c r="AK8" i="11"/>
  <c r="Y8" i="15"/>
  <c r="O8" i="15"/>
  <c r="Z8" i="18"/>
  <c r="O8" i="8"/>
  <c r="AV8" i="16"/>
  <c r="C8" i="8"/>
  <c r="AK8" i="17"/>
  <c r="AK8" i="9"/>
  <c r="O8" i="12"/>
  <c r="AU8" i="7"/>
  <c r="AU9" i="7" s="1"/>
  <c r="AZ5" i="7" s="1"/>
  <c r="AU8" i="12"/>
  <c r="O8" i="14"/>
  <c r="Z8" i="13"/>
  <c r="N8" i="11"/>
  <c r="AJ8" i="7"/>
  <c r="Y8" i="14"/>
  <c r="AU9" i="18"/>
  <c r="AY3" i="18" s="1"/>
  <c r="BA3" i="18" s="1"/>
  <c r="D8" i="10"/>
  <c r="C9" i="10" s="1"/>
  <c r="Y8" i="7"/>
  <c r="Y8" i="16"/>
  <c r="AK8" i="7"/>
  <c r="N8" i="18"/>
  <c r="O8" i="18"/>
  <c r="AJ8" i="11"/>
  <c r="AJ9" i="11"/>
  <c r="AN6" i="11" s="1"/>
  <c r="AP6" i="11" s="1"/>
  <c r="O8" i="17"/>
  <c r="AK8" i="8"/>
  <c r="O8" i="16"/>
  <c r="AU9" i="10"/>
  <c r="AZ6" i="10" s="1"/>
  <c r="BB6" i="10" s="1"/>
  <c r="Z8" i="17"/>
  <c r="Z8" i="15"/>
  <c r="N8" i="16"/>
  <c r="Z8" i="9"/>
  <c r="AU8" i="13"/>
  <c r="AU9" i="13" s="1"/>
  <c r="N8" i="14"/>
  <c r="C8" i="13"/>
  <c r="C8" i="14"/>
  <c r="AU8" i="16"/>
  <c r="AU8" i="14"/>
  <c r="AJ8" i="15"/>
  <c r="Z8" i="16"/>
  <c r="C8" i="9"/>
  <c r="Y8" i="13"/>
  <c r="Y9" i="13" s="1"/>
  <c r="AC5" i="13" s="1"/>
  <c r="AE5" i="13" s="1"/>
  <c r="AV8" i="14"/>
  <c r="Z8" i="12"/>
  <c r="D8" i="13"/>
  <c r="D8" i="16"/>
  <c r="N8" i="17"/>
  <c r="N8" i="9"/>
  <c r="O8" i="11"/>
  <c r="AV8" i="15"/>
  <c r="AJ8" i="10"/>
  <c r="AJ9" i="10" s="1"/>
  <c r="AO4" i="10" s="1"/>
  <c r="AQ4" i="10" s="1"/>
  <c r="AU8" i="11"/>
  <c r="AU9" i="11" s="1"/>
  <c r="AY6" i="11" s="1"/>
  <c r="BA6" i="11" s="1"/>
  <c r="AK8" i="18"/>
  <c r="AK8" i="16"/>
  <c r="C8" i="12"/>
  <c r="O8" i="9"/>
  <c r="O8" i="13"/>
  <c r="Y8" i="17"/>
  <c r="Y8" i="12"/>
  <c r="D8" i="17"/>
  <c r="C9" i="17" s="1"/>
  <c r="H7" i="17" s="1"/>
  <c r="J7" i="17" s="1"/>
  <c r="Z8" i="11"/>
  <c r="N8" i="15"/>
  <c r="N8" i="8"/>
  <c r="N9" i="8" s="1"/>
  <c r="D8" i="12"/>
  <c r="Z8" i="14"/>
  <c r="AU8" i="9"/>
  <c r="Z8" i="7"/>
  <c r="C8" i="18"/>
  <c r="AV8" i="9"/>
  <c r="AU8" i="17"/>
  <c r="AU9" i="17" s="1"/>
  <c r="AZ3" i="17" s="1"/>
  <c r="BB3" i="17" s="1"/>
  <c r="C8" i="16"/>
  <c r="D8" i="18"/>
  <c r="Y8" i="8"/>
  <c r="C8" i="11"/>
  <c r="AU8" i="8"/>
  <c r="AJ8" i="14"/>
  <c r="AJ9" i="14" s="1"/>
  <c r="AN7" i="14" s="1"/>
  <c r="AP7" i="14" s="1"/>
  <c r="Y8" i="11"/>
  <c r="Y9" i="11" s="1"/>
  <c r="AD5" i="11" s="1"/>
  <c r="AF5" i="11" s="1"/>
  <c r="Z8" i="10"/>
  <c r="D8" i="11"/>
  <c r="AU8" i="15"/>
  <c r="AJ8" i="13"/>
  <c r="E2" i="3"/>
  <c r="F10" i="3"/>
  <c r="AF40" i="1"/>
  <c r="B3" i="3"/>
  <c r="E3" i="3" s="1"/>
  <c r="F9" i="3"/>
  <c r="AE40" i="1"/>
  <c r="P40" i="1"/>
  <c r="Q7" i="1"/>
  <c r="F5" i="3"/>
  <c r="F12" i="3"/>
  <c r="F4" i="3"/>
  <c r="F8" i="3"/>
  <c r="F7" i="3"/>
  <c r="F6" i="3"/>
  <c r="AY3" i="17"/>
  <c r="BA3" i="17" s="1"/>
  <c r="AY6" i="17"/>
  <c r="BA6" i="17" s="1"/>
  <c r="H4" i="17"/>
  <c r="J4" i="17" s="1"/>
  <c r="AO5" i="14"/>
  <c r="AQ5" i="14" s="1"/>
  <c r="AN5" i="14"/>
  <c r="AP5" i="14" s="1"/>
  <c r="AY6" i="10"/>
  <c r="BA6" i="10" s="1"/>
  <c r="AN6" i="10"/>
  <c r="AP6" i="10" s="1"/>
  <c r="C8" i="7"/>
  <c r="D8" i="7"/>
  <c r="F11" i="3"/>
  <c r="F13" i="3"/>
  <c r="E10" i="3"/>
  <c r="E7" i="3"/>
  <c r="E8" i="3"/>
  <c r="E13" i="3"/>
  <c r="E9" i="3"/>
  <c r="E6" i="3"/>
  <c r="E12" i="3"/>
  <c r="E11" i="3"/>
  <c r="E5" i="3"/>
  <c r="E4" i="3"/>
  <c r="AZ6" i="11" l="1"/>
  <c r="BB6" i="11" s="1"/>
  <c r="G7" i="17"/>
  <c r="I7" i="17" s="1"/>
  <c r="Y9" i="8"/>
  <c r="AC4" i="8" s="1"/>
  <c r="AE4" i="8" s="1"/>
  <c r="N9" i="13"/>
  <c r="S5" i="13" s="1"/>
  <c r="U5" i="13" s="1"/>
  <c r="N9" i="11"/>
  <c r="S5" i="11" s="1"/>
  <c r="U5" i="11" s="1"/>
  <c r="AY7" i="10"/>
  <c r="BA7" i="10" s="1"/>
  <c r="AD7" i="13"/>
  <c r="AF7" i="13" s="1"/>
  <c r="AO3" i="14"/>
  <c r="AQ3" i="14" s="1"/>
  <c r="AQ8" i="14" s="1"/>
  <c r="N9" i="9"/>
  <c r="R6" i="9" s="1"/>
  <c r="T6" i="9" s="1"/>
  <c r="Y9" i="9"/>
  <c r="AN3" i="14"/>
  <c r="AP3" i="14" s="1"/>
  <c r="AJ9" i="15"/>
  <c r="AN4" i="15" s="1"/>
  <c r="AP4" i="15" s="1"/>
  <c r="AJ9" i="9"/>
  <c r="AO5" i="9" s="1"/>
  <c r="AQ5" i="9" s="1"/>
  <c r="AJ9" i="8"/>
  <c r="AO4" i="8" s="1"/>
  <c r="AQ4" i="8" s="1"/>
  <c r="Y9" i="17"/>
  <c r="AC4" i="17" s="1"/>
  <c r="AE4" i="17" s="1"/>
  <c r="AN4" i="14"/>
  <c r="AP4" i="14" s="1"/>
  <c r="AP8" i="14" s="1"/>
  <c r="C9" i="15"/>
  <c r="AO6" i="15"/>
  <c r="AQ6" i="15" s="1"/>
  <c r="S4" i="10"/>
  <c r="U4" i="10" s="1"/>
  <c r="S7" i="10"/>
  <c r="U7" i="10" s="1"/>
  <c r="S3" i="10"/>
  <c r="U3" i="10" s="1"/>
  <c r="U8" i="10" s="1"/>
  <c r="R5" i="10"/>
  <c r="T5" i="10" s="1"/>
  <c r="R4" i="10"/>
  <c r="T4" i="10" s="1"/>
  <c r="T8" i="10" s="1"/>
  <c r="R3" i="10"/>
  <c r="T3" i="10" s="1"/>
  <c r="S6" i="10"/>
  <c r="U6" i="10" s="1"/>
  <c r="R7" i="10"/>
  <c r="T7" i="10" s="1"/>
  <c r="S5" i="10"/>
  <c r="U5" i="10" s="1"/>
  <c r="R6" i="10"/>
  <c r="T6" i="10" s="1"/>
  <c r="AD3" i="9"/>
  <c r="AF3" i="9" s="1"/>
  <c r="AC5" i="9"/>
  <c r="AE5" i="9" s="1"/>
  <c r="AD4" i="9"/>
  <c r="AF4" i="9" s="1"/>
  <c r="AU9" i="16"/>
  <c r="N9" i="15"/>
  <c r="S4" i="15" s="1"/>
  <c r="U4" i="15" s="1"/>
  <c r="C9" i="8"/>
  <c r="H3" i="8" s="1"/>
  <c r="J3" i="8" s="1"/>
  <c r="Y9" i="18"/>
  <c r="AC5" i="18" s="1"/>
  <c r="AE5" i="18" s="1"/>
  <c r="AZ3" i="10"/>
  <c r="BB3" i="10" s="1"/>
  <c r="AN4" i="10"/>
  <c r="AP4" i="10" s="1"/>
  <c r="AO4" i="11"/>
  <c r="AQ4" i="11" s="1"/>
  <c r="AO4" i="14"/>
  <c r="AQ4" i="14" s="1"/>
  <c r="C9" i="14"/>
  <c r="G7" i="14" s="1"/>
  <c r="I7" i="14" s="1"/>
  <c r="AJ9" i="13"/>
  <c r="AN5" i="13" s="1"/>
  <c r="AP5" i="13" s="1"/>
  <c r="AZ7" i="10"/>
  <c r="BB7" i="10" s="1"/>
  <c r="AO7" i="14"/>
  <c r="AQ7" i="14" s="1"/>
  <c r="G6" i="17"/>
  <c r="I6" i="17" s="1"/>
  <c r="AZ7" i="18"/>
  <c r="BB7" i="18" s="1"/>
  <c r="AC6" i="11"/>
  <c r="AE6" i="11" s="1"/>
  <c r="AJ9" i="17"/>
  <c r="AO6" i="17" s="1"/>
  <c r="AQ6" i="17" s="1"/>
  <c r="AZ4" i="10"/>
  <c r="BB4" i="10" s="1"/>
  <c r="H3" i="17"/>
  <c r="J3" i="17" s="1"/>
  <c r="AY4" i="10"/>
  <c r="BA4" i="10" s="1"/>
  <c r="AY4" i="18"/>
  <c r="BA4" i="18" s="1"/>
  <c r="AY3" i="10"/>
  <c r="BA3" i="10" s="1"/>
  <c r="Y9" i="10"/>
  <c r="AD6" i="10" s="1"/>
  <c r="AF6" i="10" s="1"/>
  <c r="AD5" i="8"/>
  <c r="AF5" i="8" s="1"/>
  <c r="AD6" i="8"/>
  <c r="AF6" i="8" s="1"/>
  <c r="AC6" i="8"/>
  <c r="AE6" i="8" s="1"/>
  <c r="AD3" i="8"/>
  <c r="AF3" i="8" s="1"/>
  <c r="AC3" i="8"/>
  <c r="AE3" i="8" s="1"/>
  <c r="AC5" i="8"/>
  <c r="AE5" i="8" s="1"/>
  <c r="AN7" i="17"/>
  <c r="AP7" i="17" s="1"/>
  <c r="AO5" i="17"/>
  <c r="AQ5" i="17" s="1"/>
  <c r="AO7" i="17"/>
  <c r="AQ7" i="17" s="1"/>
  <c r="AN5" i="17"/>
  <c r="AP5" i="17" s="1"/>
  <c r="AN3" i="17"/>
  <c r="AP3" i="17" s="1"/>
  <c r="S6" i="7"/>
  <c r="S4" i="7"/>
  <c r="S7" i="7"/>
  <c r="R7" i="7"/>
  <c r="R4" i="7"/>
  <c r="R6" i="7"/>
  <c r="S3" i="7"/>
  <c r="R5" i="7"/>
  <c r="R3" i="7"/>
  <c r="S5" i="7"/>
  <c r="G5" i="10"/>
  <c r="I5" i="10" s="1"/>
  <c r="G4" i="10"/>
  <c r="I4" i="10" s="1"/>
  <c r="H3" i="10"/>
  <c r="J3" i="10" s="1"/>
  <c r="G3" i="10"/>
  <c r="I3" i="10" s="1"/>
  <c r="G6" i="10"/>
  <c r="I6" i="10" s="1"/>
  <c r="G7" i="10"/>
  <c r="I7" i="10" s="1"/>
  <c r="S3" i="15"/>
  <c r="U3" i="15" s="1"/>
  <c r="R5" i="15"/>
  <c r="T5" i="15" s="1"/>
  <c r="S6" i="15"/>
  <c r="U6" i="15" s="1"/>
  <c r="S7" i="15"/>
  <c r="U7" i="15" s="1"/>
  <c r="AN6" i="12"/>
  <c r="AP6" i="12" s="1"/>
  <c r="AN5" i="12"/>
  <c r="AP5" i="12" s="1"/>
  <c r="AO3" i="12"/>
  <c r="AQ3" i="12" s="1"/>
  <c r="AO7" i="12"/>
  <c r="AQ7" i="12" s="1"/>
  <c r="AO6" i="12"/>
  <c r="AQ6" i="12" s="1"/>
  <c r="AN4" i="12"/>
  <c r="AP4" i="12" s="1"/>
  <c r="AO5" i="12"/>
  <c r="AQ5" i="12" s="1"/>
  <c r="AN7" i="12"/>
  <c r="AP7" i="12" s="1"/>
  <c r="AN3" i="12"/>
  <c r="AP3" i="12" s="1"/>
  <c r="AO4" i="12"/>
  <c r="AQ4" i="12" s="1"/>
  <c r="AN5" i="9"/>
  <c r="AP5" i="9" s="1"/>
  <c r="AO5" i="11"/>
  <c r="AQ5" i="11" s="1"/>
  <c r="AC3" i="18"/>
  <c r="AE3" i="18" s="1"/>
  <c r="AN5" i="10"/>
  <c r="AP5" i="10" s="1"/>
  <c r="AO5" i="10"/>
  <c r="AQ5" i="10" s="1"/>
  <c r="AZ5" i="11"/>
  <c r="BB5" i="11" s="1"/>
  <c r="AO5" i="15"/>
  <c r="AQ5" i="15" s="1"/>
  <c r="AY5" i="18"/>
  <c r="BA5" i="18" s="1"/>
  <c r="C9" i="9"/>
  <c r="H6" i="9" s="1"/>
  <c r="J6" i="9" s="1"/>
  <c r="C9" i="13"/>
  <c r="G7" i="13" s="1"/>
  <c r="I7" i="13" s="1"/>
  <c r="AO3" i="15"/>
  <c r="AQ3" i="15" s="1"/>
  <c r="AN3" i="9"/>
  <c r="AP3" i="9" s="1"/>
  <c r="AO4" i="15"/>
  <c r="AQ4" i="15" s="1"/>
  <c r="AC7" i="18"/>
  <c r="AE7" i="18" s="1"/>
  <c r="AO4" i="9"/>
  <c r="AQ4" i="9" s="1"/>
  <c r="AU9" i="12"/>
  <c r="AZ5" i="10"/>
  <c r="BB5" i="10" s="1"/>
  <c r="AO3" i="10"/>
  <c r="AQ3" i="10" s="1"/>
  <c r="AN7" i="10"/>
  <c r="AP7" i="10" s="1"/>
  <c r="AY3" i="11"/>
  <c r="BA3" i="11" s="1"/>
  <c r="AO7" i="15"/>
  <c r="AQ7" i="15" s="1"/>
  <c r="AD5" i="18"/>
  <c r="AF5" i="18" s="1"/>
  <c r="AZ5" i="18"/>
  <c r="BB5" i="18" s="1"/>
  <c r="AU9" i="8"/>
  <c r="AZ4" i="8" s="1"/>
  <c r="BB4" i="8" s="1"/>
  <c r="C9" i="18"/>
  <c r="AJ9" i="16"/>
  <c r="N9" i="12"/>
  <c r="AN7" i="15"/>
  <c r="AP7" i="15" s="1"/>
  <c r="AN3" i="10"/>
  <c r="AP3" i="10" s="1"/>
  <c r="AY7" i="11"/>
  <c r="BA7" i="11" s="1"/>
  <c r="AN6" i="15"/>
  <c r="AP6" i="15" s="1"/>
  <c r="Y9" i="15"/>
  <c r="AC6" i="15" s="1"/>
  <c r="AE6" i="15" s="1"/>
  <c r="AY5" i="10"/>
  <c r="BA5" i="10" s="1"/>
  <c r="Y9" i="12"/>
  <c r="AD6" i="12" s="1"/>
  <c r="AF6" i="12" s="1"/>
  <c r="AJ9" i="18"/>
  <c r="AN3" i="18" s="1"/>
  <c r="AP3" i="18" s="1"/>
  <c r="Y9" i="7"/>
  <c r="AD6" i="7" s="1"/>
  <c r="AD7" i="10"/>
  <c r="AF7" i="10" s="1"/>
  <c r="AC6" i="10"/>
  <c r="AE6" i="10" s="1"/>
  <c r="AD3" i="10"/>
  <c r="AF3" i="10" s="1"/>
  <c r="AD4" i="10"/>
  <c r="AF4" i="10" s="1"/>
  <c r="R7" i="8"/>
  <c r="T7" i="8" s="1"/>
  <c r="R3" i="8"/>
  <c r="T3" i="8" s="1"/>
  <c r="S7" i="8"/>
  <c r="U7" i="8" s="1"/>
  <c r="S3" i="8"/>
  <c r="U3" i="8" s="1"/>
  <c r="S4" i="8"/>
  <c r="U4" i="8" s="1"/>
  <c r="R5" i="8"/>
  <c r="T5" i="8" s="1"/>
  <c r="S6" i="8"/>
  <c r="U6" i="8" s="1"/>
  <c r="R6" i="8"/>
  <c r="T6" i="8" s="1"/>
  <c r="S5" i="8"/>
  <c r="U5" i="8" s="1"/>
  <c r="R4" i="8"/>
  <c r="T4" i="8" s="1"/>
  <c r="R6" i="11"/>
  <c r="T6" i="11" s="1"/>
  <c r="S7" i="11"/>
  <c r="U7" i="11" s="1"/>
  <c r="S6" i="11"/>
  <c r="U6" i="11" s="1"/>
  <c r="S3" i="11"/>
  <c r="U3" i="11" s="1"/>
  <c r="R3" i="11"/>
  <c r="T3" i="11" s="1"/>
  <c r="R5" i="11"/>
  <c r="T5" i="11" s="1"/>
  <c r="S4" i="11"/>
  <c r="U4" i="11" s="1"/>
  <c r="AD7" i="17"/>
  <c r="AF7" i="17" s="1"/>
  <c r="AC5" i="17"/>
  <c r="AE5" i="17" s="1"/>
  <c r="AC7" i="17"/>
  <c r="AE7" i="17" s="1"/>
  <c r="AD6" i="17"/>
  <c r="AF6" i="17" s="1"/>
  <c r="AD3" i="7"/>
  <c r="H7" i="10"/>
  <c r="J7" i="10" s="1"/>
  <c r="H6" i="10"/>
  <c r="J6" i="10" s="1"/>
  <c r="H4" i="10"/>
  <c r="J4" i="10" s="1"/>
  <c r="H5" i="10"/>
  <c r="J5" i="10" s="1"/>
  <c r="G5" i="8"/>
  <c r="I5" i="8" s="1"/>
  <c r="AY3" i="7"/>
  <c r="AD3" i="13"/>
  <c r="AF3" i="13" s="1"/>
  <c r="AO7" i="11"/>
  <c r="AQ7" i="11" s="1"/>
  <c r="AD6" i="13"/>
  <c r="AF6" i="13" s="1"/>
  <c r="AZ6" i="17"/>
  <c r="BB6" i="17" s="1"/>
  <c r="C9" i="11"/>
  <c r="H6" i="18"/>
  <c r="J6" i="18" s="1"/>
  <c r="H7" i="18"/>
  <c r="J7" i="18" s="1"/>
  <c r="G5" i="18"/>
  <c r="I5" i="18" s="1"/>
  <c r="AZ7" i="7"/>
  <c r="H7" i="13"/>
  <c r="J7" i="13" s="1"/>
  <c r="H3" i="13"/>
  <c r="J3" i="13" s="1"/>
  <c r="AC7" i="8"/>
  <c r="AE7" i="8" s="1"/>
  <c r="AD4" i="8"/>
  <c r="AF4" i="8" s="1"/>
  <c r="AD7" i="8"/>
  <c r="AF7" i="8" s="1"/>
  <c r="AN3" i="15"/>
  <c r="AP3" i="15" s="1"/>
  <c r="AN5" i="15"/>
  <c r="AP5" i="15" s="1"/>
  <c r="AY4" i="16"/>
  <c r="BA4" i="16" s="1"/>
  <c r="AY6" i="16"/>
  <c r="BA6" i="16" s="1"/>
  <c r="AY7" i="17"/>
  <c r="BA7" i="17" s="1"/>
  <c r="AY4" i="8"/>
  <c r="BA4" i="8" s="1"/>
  <c r="R3" i="9"/>
  <c r="T3" i="9" s="1"/>
  <c r="AO3" i="11"/>
  <c r="AQ3" i="11" s="1"/>
  <c r="AC4" i="13"/>
  <c r="AE4" i="13" s="1"/>
  <c r="AY3" i="16"/>
  <c r="BA3" i="16" s="1"/>
  <c r="AZ4" i="17"/>
  <c r="BB4" i="17" s="1"/>
  <c r="AC5" i="11"/>
  <c r="AE5" i="11" s="1"/>
  <c r="AC4" i="11"/>
  <c r="AE4" i="11" s="1"/>
  <c r="AC7" i="11"/>
  <c r="AE7" i="11" s="1"/>
  <c r="AD3" i="11"/>
  <c r="AF3" i="11" s="1"/>
  <c r="AD6" i="11"/>
  <c r="AF6" i="11" s="1"/>
  <c r="AC3" i="11"/>
  <c r="AE3" i="11" s="1"/>
  <c r="AD4" i="11"/>
  <c r="AF4" i="11" s="1"/>
  <c r="AD7" i="11"/>
  <c r="AF7" i="11" s="1"/>
  <c r="G3" i="17"/>
  <c r="I3" i="17" s="1"/>
  <c r="H6" i="17"/>
  <c r="J6" i="17" s="1"/>
  <c r="G4" i="17"/>
  <c r="I4" i="17" s="1"/>
  <c r="G5" i="17"/>
  <c r="I5" i="17" s="1"/>
  <c r="AZ4" i="11"/>
  <c r="BB4" i="11" s="1"/>
  <c r="AZ7" i="11"/>
  <c r="BB7" i="11" s="1"/>
  <c r="AY4" i="11"/>
  <c r="BA4" i="11" s="1"/>
  <c r="AZ3" i="11"/>
  <c r="BB3" i="11" s="1"/>
  <c r="S4" i="13"/>
  <c r="U4" i="13" s="1"/>
  <c r="R7" i="13"/>
  <c r="T7" i="13" s="1"/>
  <c r="R5" i="13"/>
  <c r="T5" i="13" s="1"/>
  <c r="R4" i="13"/>
  <c r="T4" i="13" s="1"/>
  <c r="S7" i="13"/>
  <c r="U7" i="13" s="1"/>
  <c r="R3" i="13"/>
  <c r="T3" i="13" s="1"/>
  <c r="R6" i="13"/>
  <c r="T6" i="13" s="1"/>
  <c r="S6" i="13"/>
  <c r="U6" i="13" s="1"/>
  <c r="AY7" i="7"/>
  <c r="AN7" i="9"/>
  <c r="AP7" i="9" s="1"/>
  <c r="AO3" i="9"/>
  <c r="AQ3" i="9" s="1"/>
  <c r="AZ3" i="16"/>
  <c r="BB3" i="16" s="1"/>
  <c r="AN6" i="14"/>
  <c r="AP6" i="14" s="1"/>
  <c r="AO6" i="14"/>
  <c r="AQ6" i="14" s="1"/>
  <c r="AO7" i="10"/>
  <c r="AQ7" i="10" s="1"/>
  <c r="AO6" i="10"/>
  <c r="AQ6" i="10" s="1"/>
  <c r="AY5" i="11"/>
  <c r="BA5" i="11" s="1"/>
  <c r="AY5" i="17"/>
  <c r="BA5" i="17" s="1"/>
  <c r="AY4" i="17"/>
  <c r="BA4" i="17" s="1"/>
  <c r="AN5" i="16"/>
  <c r="AP5" i="16" s="1"/>
  <c r="AO3" i="16"/>
  <c r="AQ3" i="16" s="1"/>
  <c r="R5" i="9"/>
  <c r="T5" i="9" s="1"/>
  <c r="S6" i="9"/>
  <c r="U6" i="9" s="1"/>
  <c r="S5" i="9"/>
  <c r="U5" i="9" s="1"/>
  <c r="R7" i="9"/>
  <c r="T7" i="9" s="1"/>
  <c r="S7" i="9"/>
  <c r="U7" i="9" s="1"/>
  <c r="R4" i="9"/>
  <c r="T4" i="9" s="1"/>
  <c r="AD5" i="13"/>
  <c r="AF5" i="13" s="1"/>
  <c r="AC6" i="13"/>
  <c r="AE6" i="13" s="1"/>
  <c r="AC3" i="13"/>
  <c r="AE3" i="13" s="1"/>
  <c r="AC7" i="13"/>
  <c r="AE7" i="13" s="1"/>
  <c r="AN3" i="11"/>
  <c r="AP3" i="11" s="1"/>
  <c r="AN4" i="11"/>
  <c r="AP4" i="11" s="1"/>
  <c r="AZ3" i="7"/>
  <c r="AZ4" i="7"/>
  <c r="AY5" i="7"/>
  <c r="AZ6" i="7"/>
  <c r="AY4" i="7"/>
  <c r="AY6" i="7"/>
  <c r="AZ4" i="16"/>
  <c r="BB4" i="16" s="1"/>
  <c r="AN4" i="13"/>
  <c r="AP4" i="13" s="1"/>
  <c r="AN5" i="11"/>
  <c r="AP5" i="11" s="1"/>
  <c r="AD4" i="13"/>
  <c r="AF4" i="13" s="1"/>
  <c r="AY5" i="16"/>
  <c r="BA5" i="16" s="1"/>
  <c r="AZ7" i="17"/>
  <c r="BB7" i="17" s="1"/>
  <c r="AU9" i="9"/>
  <c r="AC4" i="12"/>
  <c r="AE4" i="12" s="1"/>
  <c r="S3" i="9"/>
  <c r="U3" i="9" s="1"/>
  <c r="AD6" i="9"/>
  <c r="AF6" i="9" s="1"/>
  <c r="AC4" i="9"/>
  <c r="AE4" i="9" s="1"/>
  <c r="AC7" i="9"/>
  <c r="AE7" i="9" s="1"/>
  <c r="AD7" i="9"/>
  <c r="AF7" i="9" s="1"/>
  <c r="AD5" i="9"/>
  <c r="AF5" i="9" s="1"/>
  <c r="AC6" i="9"/>
  <c r="AE6" i="9" s="1"/>
  <c r="AY4" i="13"/>
  <c r="BA4" i="13" s="1"/>
  <c r="AZ4" i="13"/>
  <c r="BB4" i="13" s="1"/>
  <c r="AY5" i="13"/>
  <c r="BA5" i="13" s="1"/>
  <c r="AZ5" i="13"/>
  <c r="BB5" i="13" s="1"/>
  <c r="AZ3" i="13"/>
  <c r="BB3" i="13" s="1"/>
  <c r="AZ6" i="13"/>
  <c r="BB6" i="13" s="1"/>
  <c r="AZ7" i="13"/>
  <c r="BB7" i="13" s="1"/>
  <c r="AY7" i="13"/>
  <c r="BA7" i="13" s="1"/>
  <c r="AY3" i="13"/>
  <c r="BA3" i="13" s="1"/>
  <c r="AY6" i="13"/>
  <c r="BA6" i="13" s="1"/>
  <c r="AN7" i="11"/>
  <c r="AP7" i="11" s="1"/>
  <c r="AC3" i="9"/>
  <c r="AE3" i="9" s="1"/>
  <c r="AO6" i="11"/>
  <c r="AQ6" i="11" s="1"/>
  <c r="AY7" i="16"/>
  <c r="BA7" i="16" s="1"/>
  <c r="AZ5" i="17"/>
  <c r="BB5" i="17" s="1"/>
  <c r="H5" i="17"/>
  <c r="J5" i="17" s="1"/>
  <c r="C9" i="16"/>
  <c r="S4" i="9"/>
  <c r="U4" i="9" s="1"/>
  <c r="AU9" i="14"/>
  <c r="N9" i="14"/>
  <c r="Y9" i="14"/>
  <c r="N9" i="18"/>
  <c r="N9" i="16"/>
  <c r="AY7" i="18"/>
  <c r="BA7" i="18" s="1"/>
  <c r="AZ3" i="18"/>
  <c r="BB3" i="18" s="1"/>
  <c r="BB8" i="18" s="1"/>
  <c r="AY6" i="18"/>
  <c r="BA6" i="18" s="1"/>
  <c r="AZ4" i="18"/>
  <c r="BB4" i="18" s="1"/>
  <c r="AZ6" i="18"/>
  <c r="BB6" i="18" s="1"/>
  <c r="C9" i="12"/>
  <c r="AJ9" i="7"/>
  <c r="AU9" i="15"/>
  <c r="N9" i="17"/>
  <c r="G4" i="14"/>
  <c r="I4" i="14" s="1"/>
  <c r="H3" i="14"/>
  <c r="J3" i="14" s="1"/>
  <c r="H5" i="14"/>
  <c r="J5" i="14" s="1"/>
  <c r="G3" i="14"/>
  <c r="I3" i="14" s="1"/>
  <c r="G6" i="14"/>
  <c r="I6" i="14" s="1"/>
  <c r="H7" i="14"/>
  <c r="J7" i="14" s="1"/>
  <c r="H4" i="14"/>
  <c r="J4" i="14" s="1"/>
  <c r="G5" i="14"/>
  <c r="I5" i="14" s="1"/>
  <c r="H6" i="14"/>
  <c r="J6" i="14" s="1"/>
  <c r="Y9" i="16"/>
  <c r="Q40" i="1"/>
  <c r="C3" i="3"/>
  <c r="F3" i="3" s="1"/>
  <c r="AN5" i="8"/>
  <c r="AP5" i="8" s="1"/>
  <c r="AN4" i="8"/>
  <c r="AP4" i="8" s="1"/>
  <c r="AO5" i="8"/>
  <c r="AQ5" i="8" s="1"/>
  <c r="AO6" i="8"/>
  <c r="AQ6" i="8" s="1"/>
  <c r="AO7" i="8"/>
  <c r="AQ7" i="8" s="1"/>
  <c r="AN3" i="8"/>
  <c r="AP3" i="8" s="1"/>
  <c r="AN6" i="8"/>
  <c r="AP6" i="8" s="1"/>
  <c r="AO3" i="8"/>
  <c r="AQ3" i="8" s="1"/>
  <c r="C9" i="7"/>
  <c r="G6" i="7" s="1"/>
  <c r="I6" i="7" s="1"/>
  <c r="BB8" i="11" l="1"/>
  <c r="AF8" i="11"/>
  <c r="AD4" i="17"/>
  <c r="AF4" i="17" s="1"/>
  <c r="AD3" i="18"/>
  <c r="AF3" i="18" s="1"/>
  <c r="AF8" i="18" s="1"/>
  <c r="AN7" i="8"/>
  <c r="AP7" i="8" s="1"/>
  <c r="AE8" i="9"/>
  <c r="BA8" i="17"/>
  <c r="BA9" i="17" s="1"/>
  <c r="H5" i="8"/>
  <c r="J5" i="8" s="1"/>
  <c r="AD3" i="17"/>
  <c r="AF3" i="17" s="1"/>
  <c r="AP8" i="10"/>
  <c r="AO3" i="17"/>
  <c r="AQ3" i="17" s="1"/>
  <c r="R7" i="11"/>
  <c r="T7" i="11" s="1"/>
  <c r="AN6" i="17"/>
  <c r="AP6" i="17" s="1"/>
  <c r="AN4" i="17"/>
  <c r="AP4" i="17" s="1"/>
  <c r="AP8" i="17" s="1"/>
  <c r="G7" i="9"/>
  <c r="I7" i="9" s="1"/>
  <c r="G5" i="9"/>
  <c r="I5" i="9" s="1"/>
  <c r="U8" i="9"/>
  <c r="AC6" i="17"/>
  <c r="AE6" i="17" s="1"/>
  <c r="AD6" i="18"/>
  <c r="AF6" i="18" s="1"/>
  <c r="AN6" i="9"/>
  <c r="AP6" i="9" s="1"/>
  <c r="H7" i="9"/>
  <c r="J7" i="9" s="1"/>
  <c r="AC3" i="17"/>
  <c r="AE3" i="17" s="1"/>
  <c r="AP8" i="11"/>
  <c r="G7" i="8"/>
  <c r="I7" i="8" s="1"/>
  <c r="AD5" i="17"/>
  <c r="AF5" i="17" s="1"/>
  <c r="AF8" i="17" s="1"/>
  <c r="R4" i="11"/>
  <c r="T4" i="11" s="1"/>
  <c r="T8" i="11" s="1"/>
  <c r="AO7" i="9"/>
  <c r="AQ7" i="9" s="1"/>
  <c r="AD4" i="18"/>
  <c r="AF4" i="18" s="1"/>
  <c r="AO6" i="9"/>
  <c r="AQ6" i="9" s="1"/>
  <c r="AQ8" i="9" s="1"/>
  <c r="AN6" i="13"/>
  <c r="AP6" i="13" s="1"/>
  <c r="AO4" i="17"/>
  <c r="AQ4" i="17" s="1"/>
  <c r="S3" i="13"/>
  <c r="U3" i="13" s="1"/>
  <c r="U8" i="13" s="1"/>
  <c r="AN4" i="9"/>
  <c r="AP4" i="9" s="1"/>
  <c r="AP8" i="9" s="1"/>
  <c r="J8" i="17"/>
  <c r="AC3" i="12"/>
  <c r="AE3" i="12" s="1"/>
  <c r="AQ8" i="10"/>
  <c r="AO4" i="13"/>
  <c r="AQ4" i="13" s="1"/>
  <c r="G4" i="15"/>
  <c r="I4" i="15" s="1"/>
  <c r="H7" i="15"/>
  <c r="J7" i="15" s="1"/>
  <c r="H5" i="15"/>
  <c r="J5" i="15" s="1"/>
  <c r="H3" i="15"/>
  <c r="J3" i="15" s="1"/>
  <c r="H6" i="15"/>
  <c r="J6" i="15" s="1"/>
  <c r="G5" i="15"/>
  <c r="I5" i="15" s="1"/>
  <c r="G6" i="15"/>
  <c r="I6" i="15" s="1"/>
  <c r="G7" i="15"/>
  <c r="I7" i="15" s="1"/>
  <c r="H4" i="15"/>
  <c r="J4" i="15" s="1"/>
  <c r="G3" i="15"/>
  <c r="I3" i="15" s="1"/>
  <c r="G6" i="8"/>
  <c r="I6" i="8" s="1"/>
  <c r="AF8" i="10"/>
  <c r="AQ8" i="15"/>
  <c r="AQ8" i="12"/>
  <c r="AQ8" i="17"/>
  <c r="AE8" i="17"/>
  <c r="AE9" i="17" s="1"/>
  <c r="AY6" i="8"/>
  <c r="BA6" i="8" s="1"/>
  <c r="AO6" i="13"/>
  <c r="AQ6" i="13" s="1"/>
  <c r="AE8" i="13"/>
  <c r="R6" i="15"/>
  <c r="T6" i="15" s="1"/>
  <c r="AP8" i="15"/>
  <c r="H4" i="8"/>
  <c r="J4" i="8" s="1"/>
  <c r="AC5" i="10"/>
  <c r="AE5" i="10" s="1"/>
  <c r="R4" i="15"/>
  <c r="T4" i="15" s="1"/>
  <c r="I8" i="10"/>
  <c r="BA8" i="16"/>
  <c r="AD4" i="7"/>
  <c r="S5" i="15"/>
  <c r="U5" i="15" s="1"/>
  <c r="U8" i="15" s="1"/>
  <c r="AZ3" i="8"/>
  <c r="BB3" i="8" s="1"/>
  <c r="AO7" i="13"/>
  <c r="AQ7" i="13" s="1"/>
  <c r="G4" i="8"/>
  <c r="I4" i="8" s="1"/>
  <c r="AC7" i="10"/>
  <c r="AE7" i="10" s="1"/>
  <c r="BA8" i="10"/>
  <c r="BA9" i="10" s="1"/>
  <c r="BB8" i="10"/>
  <c r="AP8" i="12"/>
  <c r="R7" i="15"/>
  <c r="T7" i="15" s="1"/>
  <c r="AD7" i="18"/>
  <c r="AF7" i="18" s="1"/>
  <c r="AC4" i="18"/>
  <c r="AE4" i="18" s="1"/>
  <c r="AC6" i="18"/>
  <c r="AE6" i="18" s="1"/>
  <c r="BB8" i="17"/>
  <c r="H7" i="8"/>
  <c r="J7" i="8" s="1"/>
  <c r="AC6" i="7"/>
  <c r="AE6" i="7" s="1"/>
  <c r="AC7" i="15"/>
  <c r="AE7" i="15" s="1"/>
  <c r="G3" i="8"/>
  <c r="I3" i="8" s="1"/>
  <c r="AC7" i="7"/>
  <c r="AE7" i="7" s="1"/>
  <c r="AC3" i="10"/>
  <c r="AE3" i="10" s="1"/>
  <c r="AD5" i="10"/>
  <c r="AF5" i="10" s="1"/>
  <c r="BA8" i="11"/>
  <c r="AO5" i="13"/>
  <c r="AQ5" i="13" s="1"/>
  <c r="AZ6" i="16"/>
  <c r="BB6" i="16" s="1"/>
  <c r="AZ5" i="16"/>
  <c r="BB5" i="16" s="1"/>
  <c r="AZ7" i="16"/>
  <c r="BB7" i="16" s="1"/>
  <c r="AD7" i="7"/>
  <c r="AF7" i="7" s="1"/>
  <c r="I8" i="14"/>
  <c r="BA8" i="13"/>
  <c r="AZ5" i="8"/>
  <c r="BB5" i="8" s="1"/>
  <c r="R3" i="15"/>
  <c r="T3" i="15" s="1"/>
  <c r="AN7" i="13"/>
  <c r="AP7" i="13" s="1"/>
  <c r="AN3" i="13"/>
  <c r="AP3" i="13" s="1"/>
  <c r="AN5" i="18"/>
  <c r="AP5" i="18" s="1"/>
  <c r="AO3" i="13"/>
  <c r="AQ3" i="13" s="1"/>
  <c r="AQ8" i="13" s="1"/>
  <c r="AD5" i="15"/>
  <c r="AF5" i="15" s="1"/>
  <c r="H6" i="8"/>
  <c r="J6" i="8" s="1"/>
  <c r="AC5" i="7"/>
  <c r="AC4" i="10"/>
  <c r="AE4" i="10" s="1"/>
  <c r="U8" i="8"/>
  <c r="AN7" i="16"/>
  <c r="AP7" i="16" s="1"/>
  <c r="AO7" i="16"/>
  <c r="AQ7" i="16" s="1"/>
  <c r="AN6" i="16"/>
  <c r="AP6" i="16" s="1"/>
  <c r="AD3" i="12"/>
  <c r="AF3" i="12" s="1"/>
  <c r="AE8" i="8"/>
  <c r="AO6" i="16"/>
  <c r="AQ6" i="16" s="1"/>
  <c r="AZ3" i="12"/>
  <c r="BB3" i="12" s="1"/>
  <c r="AY4" i="12"/>
  <c r="BA4" i="12" s="1"/>
  <c r="AZ7" i="12"/>
  <c r="BB7" i="12" s="1"/>
  <c r="AY3" i="12"/>
  <c r="BA3" i="12" s="1"/>
  <c r="AZ5" i="12"/>
  <c r="BB5" i="12" s="1"/>
  <c r="AZ4" i="12"/>
  <c r="BB4" i="12" s="1"/>
  <c r="AZ6" i="12"/>
  <c r="BB6" i="12" s="1"/>
  <c r="AY7" i="12"/>
  <c r="BA7" i="12" s="1"/>
  <c r="AY5" i="12"/>
  <c r="BA5" i="12" s="1"/>
  <c r="AY6" i="12"/>
  <c r="BA6" i="12" s="1"/>
  <c r="AN4" i="18"/>
  <c r="AP4" i="18" s="1"/>
  <c r="AO7" i="18"/>
  <c r="AQ7" i="18" s="1"/>
  <c r="AO3" i="18"/>
  <c r="AQ3" i="18" s="1"/>
  <c r="AO6" i="18"/>
  <c r="AQ6" i="18" s="1"/>
  <c r="AD7" i="12"/>
  <c r="AF7" i="12" s="1"/>
  <c r="AO4" i="18"/>
  <c r="AQ4" i="18" s="1"/>
  <c r="AF8" i="8"/>
  <c r="H5" i="18"/>
  <c r="J5" i="18" s="1"/>
  <c r="G4" i="18"/>
  <c r="I4" i="18" s="1"/>
  <c r="H4" i="18"/>
  <c r="J4" i="18" s="1"/>
  <c r="AD4" i="12"/>
  <c r="AF4" i="12" s="1"/>
  <c r="AD6" i="15"/>
  <c r="AF6" i="15" s="1"/>
  <c r="AC5" i="12"/>
  <c r="AE5" i="12" s="1"/>
  <c r="G7" i="18"/>
  <c r="I7" i="18" s="1"/>
  <c r="AC4" i="15"/>
  <c r="AE4" i="15" s="1"/>
  <c r="H4" i="9"/>
  <c r="J4" i="9" s="1"/>
  <c r="H3" i="9"/>
  <c r="J3" i="9" s="1"/>
  <c r="G4" i="9"/>
  <c r="I4" i="9" s="1"/>
  <c r="G6" i="9"/>
  <c r="I6" i="9" s="1"/>
  <c r="H7" i="7"/>
  <c r="J7" i="7" s="1"/>
  <c r="G3" i="9"/>
  <c r="I3" i="9" s="1"/>
  <c r="AC7" i="12"/>
  <c r="AE7" i="12" s="1"/>
  <c r="AN7" i="18"/>
  <c r="AP7" i="18" s="1"/>
  <c r="AN6" i="18"/>
  <c r="AP6" i="18" s="1"/>
  <c r="AO4" i="16"/>
  <c r="AQ4" i="16" s="1"/>
  <c r="AZ7" i="8"/>
  <c r="BB7" i="8" s="1"/>
  <c r="S4" i="12"/>
  <c r="U4" i="12" s="1"/>
  <c r="S7" i="12"/>
  <c r="U7" i="12" s="1"/>
  <c r="R5" i="12"/>
  <c r="T5" i="12" s="1"/>
  <c r="S6" i="12"/>
  <c r="U6" i="12" s="1"/>
  <c r="R6" i="12"/>
  <c r="T6" i="12" s="1"/>
  <c r="R4" i="12"/>
  <c r="T4" i="12" s="1"/>
  <c r="R7" i="12"/>
  <c r="T7" i="12" s="1"/>
  <c r="S5" i="12"/>
  <c r="U5" i="12" s="1"/>
  <c r="R3" i="12"/>
  <c r="T3" i="12" s="1"/>
  <c r="S3" i="12"/>
  <c r="U3" i="12" s="1"/>
  <c r="AN3" i="16"/>
  <c r="AP3" i="16" s="1"/>
  <c r="I8" i="17"/>
  <c r="I9" i="17" s="1"/>
  <c r="AN4" i="16"/>
  <c r="AP4" i="16" s="1"/>
  <c r="G3" i="18"/>
  <c r="I3" i="18" s="1"/>
  <c r="AC3" i="15"/>
  <c r="AE3" i="15" s="1"/>
  <c r="AD3" i="15"/>
  <c r="AF3" i="15" s="1"/>
  <c r="AC5" i="15"/>
  <c r="AE5" i="15" s="1"/>
  <c r="AD4" i="15"/>
  <c r="AF4" i="15" s="1"/>
  <c r="AD5" i="12"/>
  <c r="AF5" i="12" s="1"/>
  <c r="AY3" i="8"/>
  <c r="BA3" i="8" s="1"/>
  <c r="H3" i="18"/>
  <c r="J3" i="18" s="1"/>
  <c r="AF8" i="13"/>
  <c r="AE9" i="13" s="1"/>
  <c r="H5" i="13"/>
  <c r="J5" i="13" s="1"/>
  <c r="G6" i="13"/>
  <c r="I6" i="13" s="1"/>
  <c r="G3" i="13"/>
  <c r="I3" i="13" s="1"/>
  <c r="H4" i="13"/>
  <c r="J4" i="13" s="1"/>
  <c r="G5" i="13"/>
  <c r="I5" i="13" s="1"/>
  <c r="G4" i="13"/>
  <c r="I4" i="13" s="1"/>
  <c r="AY5" i="8"/>
  <c r="BA5" i="8" s="1"/>
  <c r="AZ6" i="8"/>
  <c r="BB6" i="8" s="1"/>
  <c r="H6" i="13"/>
  <c r="J6" i="13" s="1"/>
  <c r="J8" i="14"/>
  <c r="BA8" i="18"/>
  <c r="H5" i="9"/>
  <c r="J5" i="9" s="1"/>
  <c r="AQ8" i="11"/>
  <c r="AP9" i="11" s="1"/>
  <c r="BB8" i="13"/>
  <c r="BA9" i="13" s="1"/>
  <c r="AF8" i="9"/>
  <c r="AC6" i="12"/>
  <c r="AE6" i="12" s="1"/>
  <c r="AO5" i="18"/>
  <c r="AQ5" i="18" s="1"/>
  <c r="AO5" i="16"/>
  <c r="AQ5" i="16" s="1"/>
  <c r="T8" i="13"/>
  <c r="AE8" i="11"/>
  <c r="AE9" i="11" s="1"/>
  <c r="AY7" i="8"/>
  <c r="BA7" i="8" s="1"/>
  <c r="AD7" i="15"/>
  <c r="AF7" i="15" s="1"/>
  <c r="G6" i="18"/>
  <c r="I6" i="18" s="1"/>
  <c r="J8" i="10"/>
  <c r="U8" i="11"/>
  <c r="T8" i="8"/>
  <c r="AD5" i="7"/>
  <c r="AC3" i="7"/>
  <c r="AC4" i="7"/>
  <c r="AE4" i="7" s="1"/>
  <c r="AD5" i="16"/>
  <c r="AF5" i="16" s="1"/>
  <c r="AC5" i="16"/>
  <c r="AE5" i="16" s="1"/>
  <c r="AD3" i="16"/>
  <c r="AF3" i="16" s="1"/>
  <c r="AD6" i="16"/>
  <c r="AF6" i="16" s="1"/>
  <c r="AC3" i="16"/>
  <c r="AE3" i="16" s="1"/>
  <c r="AC7" i="16"/>
  <c r="AE7" i="16" s="1"/>
  <c r="AC6" i="16"/>
  <c r="AE6" i="16" s="1"/>
  <c r="AD4" i="16"/>
  <c r="AF4" i="16" s="1"/>
  <c r="AD7" i="16"/>
  <c r="AF7" i="16" s="1"/>
  <c r="AC4" i="16"/>
  <c r="AE4" i="16" s="1"/>
  <c r="H4" i="16"/>
  <c r="J4" i="16" s="1"/>
  <c r="H7" i="16"/>
  <c r="J7" i="16" s="1"/>
  <c r="G4" i="16"/>
  <c r="I4" i="16" s="1"/>
  <c r="H6" i="16"/>
  <c r="J6" i="16" s="1"/>
  <c r="G3" i="16"/>
  <c r="I3" i="16" s="1"/>
  <c r="H3" i="16"/>
  <c r="J3" i="16" s="1"/>
  <c r="G7" i="16"/>
  <c r="I7" i="16" s="1"/>
  <c r="G6" i="16"/>
  <c r="I6" i="16" s="1"/>
  <c r="H5" i="16"/>
  <c r="J5" i="16" s="1"/>
  <c r="G5" i="16"/>
  <c r="I5" i="16" s="1"/>
  <c r="R7" i="17"/>
  <c r="T7" i="17" s="1"/>
  <c r="R6" i="17"/>
  <c r="T6" i="17" s="1"/>
  <c r="R5" i="17"/>
  <c r="T5" i="17" s="1"/>
  <c r="R3" i="17"/>
  <c r="T3" i="17" s="1"/>
  <c r="R4" i="17"/>
  <c r="T4" i="17" s="1"/>
  <c r="S4" i="17"/>
  <c r="U4" i="17" s="1"/>
  <c r="S7" i="17"/>
  <c r="U7" i="17" s="1"/>
  <c r="S3" i="17"/>
  <c r="U3" i="17" s="1"/>
  <c r="S6" i="17"/>
  <c r="U6" i="17" s="1"/>
  <c r="S5" i="17"/>
  <c r="U5" i="17" s="1"/>
  <c r="AY4" i="15"/>
  <c r="BA4" i="15" s="1"/>
  <c r="AZ6" i="15"/>
  <c r="BB6" i="15" s="1"/>
  <c r="AY5" i="15"/>
  <c r="BA5" i="15" s="1"/>
  <c r="AY6" i="15"/>
  <c r="BA6" i="15" s="1"/>
  <c r="AY3" i="15"/>
  <c r="BA3" i="15" s="1"/>
  <c r="AZ5" i="15"/>
  <c r="BB5" i="15" s="1"/>
  <c r="AZ3" i="15"/>
  <c r="BB3" i="15" s="1"/>
  <c r="AY7" i="15"/>
  <c r="BA7" i="15" s="1"/>
  <c r="AZ7" i="15"/>
  <c r="BB7" i="15" s="1"/>
  <c r="AZ4" i="15"/>
  <c r="BB4" i="15" s="1"/>
  <c r="R7" i="16"/>
  <c r="T7" i="16" s="1"/>
  <c r="R4" i="16"/>
  <c r="T4" i="16" s="1"/>
  <c r="R6" i="16"/>
  <c r="T6" i="16" s="1"/>
  <c r="R5" i="16"/>
  <c r="T5" i="16" s="1"/>
  <c r="S6" i="16"/>
  <c r="U6" i="16" s="1"/>
  <c r="R3" i="16"/>
  <c r="T3" i="16" s="1"/>
  <c r="S4" i="16"/>
  <c r="U4" i="16" s="1"/>
  <c r="S3" i="16"/>
  <c r="U3" i="16" s="1"/>
  <c r="S7" i="16"/>
  <c r="U7" i="16" s="1"/>
  <c r="S5" i="16"/>
  <c r="U5" i="16" s="1"/>
  <c r="AD6" i="14"/>
  <c r="AF6" i="14" s="1"/>
  <c r="AD3" i="14"/>
  <c r="AF3" i="14" s="1"/>
  <c r="AC7" i="14"/>
  <c r="AE7" i="14" s="1"/>
  <c r="AC5" i="14"/>
  <c r="AE5" i="14" s="1"/>
  <c r="AC6" i="14"/>
  <c r="AE6" i="14" s="1"/>
  <c r="AD5" i="14"/>
  <c r="AF5" i="14" s="1"/>
  <c r="AC4" i="14"/>
  <c r="AE4" i="14" s="1"/>
  <c r="AD7" i="14"/>
  <c r="AF7" i="14" s="1"/>
  <c r="AC3" i="14"/>
  <c r="AE3" i="14" s="1"/>
  <c r="AD4" i="14"/>
  <c r="AF4" i="14" s="1"/>
  <c r="AP9" i="14"/>
  <c r="H4" i="12"/>
  <c r="J4" i="12" s="1"/>
  <c r="G4" i="12"/>
  <c r="I4" i="12" s="1"/>
  <c r="G3" i="12"/>
  <c r="I3" i="12" s="1"/>
  <c r="G6" i="12"/>
  <c r="I6" i="12" s="1"/>
  <c r="H7" i="12"/>
  <c r="J7" i="12" s="1"/>
  <c r="H3" i="12"/>
  <c r="J3" i="12" s="1"/>
  <c r="H5" i="12"/>
  <c r="J5" i="12" s="1"/>
  <c r="H6" i="12"/>
  <c r="J6" i="12" s="1"/>
  <c r="G5" i="12"/>
  <c r="I5" i="12" s="1"/>
  <c r="G7" i="12"/>
  <c r="I7" i="12" s="1"/>
  <c r="S5" i="14"/>
  <c r="U5" i="14" s="1"/>
  <c r="S7" i="14"/>
  <c r="U7" i="14" s="1"/>
  <c r="R6" i="14"/>
  <c r="T6" i="14" s="1"/>
  <c r="R5" i="14"/>
  <c r="T5" i="14" s="1"/>
  <c r="S6" i="14"/>
  <c r="U6" i="14" s="1"/>
  <c r="R3" i="14"/>
  <c r="T3" i="14" s="1"/>
  <c r="R4" i="14"/>
  <c r="T4" i="14" s="1"/>
  <c r="R7" i="14"/>
  <c r="T7" i="14" s="1"/>
  <c r="S3" i="14"/>
  <c r="U3" i="14" s="1"/>
  <c r="S4" i="14"/>
  <c r="U4" i="14" s="1"/>
  <c r="AZ4" i="14"/>
  <c r="BB4" i="14" s="1"/>
  <c r="AY5" i="14"/>
  <c r="BA5" i="14" s="1"/>
  <c r="AY7" i="14"/>
  <c r="BA7" i="14" s="1"/>
  <c r="AZ6" i="14"/>
  <c r="BB6" i="14" s="1"/>
  <c r="AY4" i="14"/>
  <c r="BA4" i="14" s="1"/>
  <c r="AZ7" i="14"/>
  <c r="BB7" i="14" s="1"/>
  <c r="AZ3" i="14"/>
  <c r="BB3" i="14" s="1"/>
  <c r="AY6" i="14"/>
  <c r="BA6" i="14" s="1"/>
  <c r="AY3" i="14"/>
  <c r="BA3" i="14" s="1"/>
  <c r="AZ5" i="14"/>
  <c r="BB5" i="14" s="1"/>
  <c r="AY5" i="9"/>
  <c r="BA5" i="9" s="1"/>
  <c r="AY6" i="9"/>
  <c r="BA6" i="9" s="1"/>
  <c r="AY3" i="9"/>
  <c r="BA3" i="9" s="1"/>
  <c r="AZ7" i="9"/>
  <c r="BB7" i="9" s="1"/>
  <c r="AZ6" i="9"/>
  <c r="BB6" i="9" s="1"/>
  <c r="AZ3" i="9"/>
  <c r="BB3" i="9" s="1"/>
  <c r="AY7" i="9"/>
  <c r="BA7" i="9" s="1"/>
  <c r="AZ4" i="9"/>
  <c r="BB4" i="9" s="1"/>
  <c r="AZ5" i="9"/>
  <c r="BB5" i="9" s="1"/>
  <c r="AY4" i="9"/>
  <c r="BA4" i="9" s="1"/>
  <c r="T8" i="9"/>
  <c r="G3" i="11"/>
  <c r="I3" i="11" s="1"/>
  <c r="H6" i="11"/>
  <c r="J6" i="11" s="1"/>
  <c r="H5" i="11"/>
  <c r="J5" i="11" s="1"/>
  <c r="G7" i="11"/>
  <c r="I7" i="11" s="1"/>
  <c r="H7" i="11"/>
  <c r="J7" i="11" s="1"/>
  <c r="H3" i="11"/>
  <c r="J3" i="11" s="1"/>
  <c r="H4" i="11"/>
  <c r="J4" i="11" s="1"/>
  <c r="G4" i="11"/>
  <c r="I4" i="11" s="1"/>
  <c r="G6" i="11"/>
  <c r="I6" i="11" s="1"/>
  <c r="G5" i="11"/>
  <c r="I5" i="11" s="1"/>
  <c r="R6" i="18"/>
  <c r="T6" i="18" s="1"/>
  <c r="S7" i="18"/>
  <c r="U7" i="18" s="1"/>
  <c r="R7" i="18"/>
  <c r="T7" i="18" s="1"/>
  <c r="S5" i="18"/>
  <c r="U5" i="18" s="1"/>
  <c r="R4" i="18"/>
  <c r="T4" i="18" s="1"/>
  <c r="R5" i="18"/>
  <c r="T5" i="18" s="1"/>
  <c r="S3" i="18"/>
  <c r="U3" i="18" s="1"/>
  <c r="S4" i="18"/>
  <c r="U4" i="18" s="1"/>
  <c r="R3" i="18"/>
  <c r="T3" i="18" s="1"/>
  <c r="S6" i="18"/>
  <c r="U6" i="18" s="1"/>
  <c r="AO3" i="7"/>
  <c r="AQ3" i="7" s="1"/>
  <c r="AN4" i="7"/>
  <c r="AP4" i="7" s="1"/>
  <c r="AO4" i="7"/>
  <c r="AQ4" i="7" s="1"/>
  <c r="AO5" i="7"/>
  <c r="AQ5" i="7" s="1"/>
  <c r="AN3" i="7"/>
  <c r="AP3" i="7" s="1"/>
  <c r="AN5" i="7"/>
  <c r="AP5" i="7" s="1"/>
  <c r="AO7" i="7"/>
  <c r="AQ7" i="7" s="1"/>
  <c r="AO6" i="7"/>
  <c r="AQ6" i="7" s="1"/>
  <c r="AN7" i="7"/>
  <c r="AP7" i="7" s="1"/>
  <c r="AN6" i="7"/>
  <c r="AP6" i="7" s="1"/>
  <c r="H6" i="7"/>
  <c r="J6" i="7" s="1"/>
  <c r="H5" i="7"/>
  <c r="J5" i="7" s="1"/>
  <c r="G7" i="7"/>
  <c r="I7" i="7" s="1"/>
  <c r="BA9" i="18"/>
  <c r="BA9" i="11"/>
  <c r="AP9" i="10"/>
  <c r="T9" i="10"/>
  <c r="AP9" i="15"/>
  <c r="AQ8" i="8"/>
  <c r="AP8" i="8"/>
  <c r="AP9" i="8" s="1"/>
  <c r="H4" i="7"/>
  <c r="J4" i="7" s="1"/>
  <c r="G5" i="7"/>
  <c r="I5" i="7" s="1"/>
  <c r="G4" i="7"/>
  <c r="I4" i="7" s="1"/>
  <c r="BA5" i="7"/>
  <c r="AF5" i="7"/>
  <c r="AF6" i="7"/>
  <c r="AE5" i="7"/>
  <c r="BB6" i="7"/>
  <c r="U3" i="7"/>
  <c r="T7" i="7"/>
  <c r="BA6" i="7"/>
  <c r="T5" i="7"/>
  <c r="BA3" i="7"/>
  <c r="AF3" i="7"/>
  <c r="U5" i="7"/>
  <c r="T6" i="7"/>
  <c r="T4" i="7"/>
  <c r="BB3" i="7"/>
  <c r="T3" i="7"/>
  <c r="AF4" i="7"/>
  <c r="BA4" i="7"/>
  <c r="BB5" i="7"/>
  <c r="AE3" i="7"/>
  <c r="U7" i="7"/>
  <c r="BB7" i="7"/>
  <c r="BA7" i="7"/>
  <c r="U6" i="7"/>
  <c r="U4" i="7"/>
  <c r="BB4" i="7"/>
  <c r="H3" i="7"/>
  <c r="J3" i="7" s="1"/>
  <c r="G3" i="7"/>
  <c r="T9" i="13" l="1"/>
  <c r="AP9" i="9"/>
  <c r="AP9" i="17"/>
  <c r="AE9" i="9"/>
  <c r="AP8" i="13"/>
  <c r="AP9" i="13" s="1"/>
  <c r="BB8" i="16"/>
  <c r="BA9" i="16" s="1"/>
  <c r="AP9" i="12"/>
  <c r="T8" i="15"/>
  <c r="T9" i="15" s="1"/>
  <c r="T9" i="9"/>
  <c r="T9" i="11"/>
  <c r="I8" i="8"/>
  <c r="J8" i="15"/>
  <c r="AQ8" i="16"/>
  <c r="I9" i="14"/>
  <c r="I8" i="13"/>
  <c r="I9" i="13" s="1"/>
  <c r="AF8" i="15"/>
  <c r="AE8" i="18"/>
  <c r="AE9" i="18" s="1"/>
  <c r="I8" i="15"/>
  <c r="J8" i="13"/>
  <c r="U8" i="12"/>
  <c r="I8" i="9"/>
  <c r="AE8" i="10"/>
  <c r="AE9" i="10" s="1"/>
  <c r="AP8" i="18"/>
  <c r="AP9" i="18" s="1"/>
  <c r="AE9" i="8"/>
  <c r="T8" i="12"/>
  <c r="J8" i="8"/>
  <c r="I9" i="10"/>
  <c r="BB8" i="8"/>
  <c r="AE8" i="15"/>
  <c r="J8" i="18"/>
  <c r="BA8" i="12"/>
  <c r="I8" i="18"/>
  <c r="T8" i="16"/>
  <c r="AE8" i="12"/>
  <c r="BB8" i="15"/>
  <c r="AP8" i="16"/>
  <c r="AP9" i="16" s="1"/>
  <c r="J8" i="9"/>
  <c r="I9" i="9" s="1"/>
  <c r="AQ8" i="18"/>
  <c r="BB8" i="12"/>
  <c r="BA8" i="8"/>
  <c r="T9" i="8"/>
  <c r="AF8" i="12"/>
  <c r="T8" i="18"/>
  <c r="BA8" i="9"/>
  <c r="J8" i="11"/>
  <c r="AF8" i="14"/>
  <c r="U8" i="17"/>
  <c r="AE8" i="14"/>
  <c r="BA8" i="15"/>
  <c r="AF8" i="16"/>
  <c r="BB8" i="9"/>
  <c r="BB8" i="14"/>
  <c r="U8" i="14"/>
  <c r="I8" i="12"/>
  <c r="U8" i="16"/>
  <c r="T8" i="17"/>
  <c r="J8" i="16"/>
  <c r="T8" i="14"/>
  <c r="J8" i="12"/>
  <c r="BA8" i="14"/>
  <c r="BA9" i="14" s="1"/>
  <c r="AE8" i="16"/>
  <c r="U8" i="18"/>
  <c r="I8" i="11"/>
  <c r="I8" i="16"/>
  <c r="I8" i="7"/>
  <c r="J8" i="7"/>
  <c r="AP8" i="7"/>
  <c r="BA8" i="7"/>
  <c r="AE8" i="7"/>
  <c r="AF8" i="7"/>
  <c r="U8" i="7"/>
  <c r="AQ8" i="7"/>
  <c r="BB8" i="7"/>
  <c r="T8" i="7"/>
  <c r="AE9" i="15" l="1"/>
  <c r="I9" i="8"/>
  <c r="I9" i="15"/>
  <c r="T9" i="12"/>
  <c r="T9" i="14"/>
  <c r="AE9" i="14"/>
  <c r="BA9" i="8"/>
  <c r="I9" i="18"/>
  <c r="I9" i="11"/>
  <c r="BA9" i="12"/>
  <c r="AE9" i="12"/>
  <c r="T9" i="18"/>
  <c r="BA9" i="15"/>
  <c r="AP9" i="7"/>
  <c r="T9" i="16"/>
  <c r="I9" i="12"/>
  <c r="BA9" i="9"/>
  <c r="T9" i="17"/>
  <c r="AE9" i="16"/>
  <c r="I9" i="16"/>
  <c r="I9" i="7"/>
  <c r="T9" i="7"/>
  <c r="BA9" i="7"/>
  <c r="AE9" i="7"/>
</calcChain>
</file>

<file path=xl/sharedStrings.xml><?xml version="1.0" encoding="utf-8"?>
<sst xmlns="http://schemas.openxmlformats.org/spreadsheetml/2006/main" count="1601" uniqueCount="117">
  <si>
    <t>EQUIPMENT</t>
  </si>
  <si>
    <t>AVG_FUEL_BURN</t>
  </si>
  <si>
    <t>HT416</t>
  </si>
  <si>
    <t>HT419</t>
  </si>
  <si>
    <t>HT420</t>
  </si>
  <si>
    <t>HT421</t>
  </si>
  <si>
    <t>HT424</t>
  </si>
  <si>
    <t>HT425</t>
  </si>
  <si>
    <t>HT426</t>
  </si>
  <si>
    <t>HT427</t>
  </si>
  <si>
    <t>HT429</t>
  </si>
  <si>
    <t>HT431</t>
  </si>
  <si>
    <t>HT432</t>
  </si>
  <si>
    <t>HT433</t>
  </si>
  <si>
    <t>Jarak (km)</t>
  </si>
  <si>
    <t>Fuel Burn (L/Jam)</t>
  </si>
  <si>
    <t>Produktivitas (bcm/Jam)</t>
  </si>
  <si>
    <t>Produktivitas Simulasi  (bcm/Jam)</t>
  </si>
  <si>
    <t>Fuel Ratio Asli (L/bcm)</t>
  </si>
  <si>
    <t>Fuel Ratio Simulasi (L/bcm)</t>
  </si>
  <si>
    <t>Fuel Asli (L/km)</t>
  </si>
  <si>
    <t>AVG_HM_KM</t>
  </si>
  <si>
    <t>Segmen</t>
  </si>
  <si>
    <t>Lebar</t>
  </si>
  <si>
    <t>Panjang</t>
  </si>
  <si>
    <t>Kemiringan</t>
  </si>
  <si>
    <t>A-B</t>
  </si>
  <si>
    <t>B-C1</t>
  </si>
  <si>
    <t>C1-C2</t>
  </si>
  <si>
    <t>C2-D</t>
  </si>
  <si>
    <t>D-E</t>
  </si>
  <si>
    <t>Grade</t>
  </si>
  <si>
    <t>Crr</t>
  </si>
  <si>
    <t>f</t>
  </si>
  <si>
    <t>g</t>
  </si>
  <si>
    <t>Wk</t>
  </si>
  <si>
    <t>Wa</t>
  </si>
  <si>
    <t>Vk</t>
  </si>
  <si>
    <t>Va</t>
  </si>
  <si>
    <t>AF</t>
  </si>
  <si>
    <t>rho</t>
  </si>
  <si>
    <t>Cd</t>
  </si>
  <si>
    <t>a</t>
  </si>
  <si>
    <t>b</t>
  </si>
  <si>
    <t>c</t>
  </si>
  <si>
    <t>Kecepatan Muatan</t>
  </si>
  <si>
    <t>Kecepatan Kosongan</t>
  </si>
  <si>
    <t>Pa</t>
  </si>
  <si>
    <t>Pk</t>
  </si>
  <si>
    <t>P(kW)</t>
  </si>
  <si>
    <t>P(%)</t>
  </si>
  <si>
    <t>Fuel consumption</t>
  </si>
  <si>
    <t>Muatan</t>
  </si>
  <si>
    <t>Kosongan</t>
  </si>
  <si>
    <t>Total</t>
  </si>
  <si>
    <t>Parameter</t>
  </si>
  <si>
    <t>Kemiringin (10%)</t>
  </si>
  <si>
    <t>Kemiringin (20%)</t>
  </si>
  <si>
    <t>Kemiringin (30%)</t>
  </si>
  <si>
    <t>Kemiringin (40%)</t>
  </si>
  <si>
    <t>b1</t>
  </si>
  <si>
    <t>b2</t>
  </si>
  <si>
    <t>b3</t>
  </si>
  <si>
    <t>b4</t>
  </si>
  <si>
    <t>c1</t>
  </si>
  <si>
    <t>c2</t>
  </si>
  <si>
    <t>c3</t>
  </si>
  <si>
    <t>c4</t>
  </si>
  <si>
    <t>Produktifitas (bcm/jam)</t>
  </si>
  <si>
    <t>Produktivitas Simulasi</t>
  </si>
  <si>
    <t>NO</t>
  </si>
  <si>
    <t>Alat Angkut</t>
  </si>
  <si>
    <t>Tgl</t>
  </si>
  <si>
    <t>Waktu (menit)</t>
  </si>
  <si>
    <t>Pengamatan</t>
  </si>
  <si>
    <t>Produksi Aktual (bcm/jam)</t>
  </si>
  <si>
    <t>Manuver Kosong</t>
  </si>
  <si>
    <t>Pemuatan</t>
  </si>
  <si>
    <t>Angkut bermuatan</t>
  </si>
  <si>
    <t>Mengambil Posisi Untuk Penumpahan</t>
  </si>
  <si>
    <t>Dumping</t>
  </si>
  <si>
    <t>Kembali (Kosong)</t>
  </si>
  <si>
    <t>Rata-Rata (menit)</t>
  </si>
  <si>
    <t>ADT 419</t>
  </si>
  <si>
    <t>ADT 426</t>
  </si>
  <si>
    <t>ADT 421</t>
  </si>
  <si>
    <t>ADT 416</t>
  </si>
  <si>
    <t>ADT 429</t>
  </si>
  <si>
    <t>ADT 427</t>
  </si>
  <si>
    <t>ADT 420</t>
  </si>
  <si>
    <t>ADT 432</t>
  </si>
  <si>
    <t>ADT 431</t>
  </si>
  <si>
    <t>ADT 433</t>
  </si>
  <si>
    <t>ADT 424</t>
  </si>
  <si>
    <t>ADT 425</t>
  </si>
  <si>
    <t>Nama</t>
  </si>
  <si>
    <t>Koefisien Hambatan Aerodinamis</t>
  </si>
  <si>
    <t>koefisien gesekan ban dengan permukaan jalan</t>
  </si>
  <si>
    <t>koefisien tahanan gulir</t>
  </si>
  <si>
    <t>Satuan</t>
  </si>
  <si>
    <t>-</t>
  </si>
  <si>
    <t>densitas udara</t>
  </si>
  <si>
    <t>(kg/m3)</t>
  </si>
  <si>
    <t>luas penampang bagian depan alat angkut</t>
  </si>
  <si>
    <t>m2</t>
  </si>
  <si>
    <t>kecepatan alat angkut bermuatan rata-rata dari area pemuatan sampai dengan area penimbunan</t>
  </si>
  <si>
    <t>m/s</t>
  </si>
  <si>
    <t>kecepatan alat angkut kosongan rata-rata dari area penimbunan sampai ke area pemuatan</t>
  </si>
  <si>
    <t>berat alat angkut bermuatan</t>
  </si>
  <si>
    <t>kg</t>
  </si>
  <si>
    <t>berat alat angkut kosong</t>
  </si>
  <si>
    <t>percepatan gravitasi</t>
  </si>
  <si>
    <t>m/s2</t>
  </si>
  <si>
    <t>percepatan</t>
  </si>
  <si>
    <t>Nilai 1</t>
  </si>
  <si>
    <t>Nilai 2</t>
  </si>
  <si>
    <t>Fuel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</si>
</sst>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3" borderId="0" xfId="0" applyNumberFormat="1" applyFont="1" applyFill="1"/>
    <xf numFmtId="2" fontId="1" fillId="4" borderId="0" xfId="0" applyNumberFormat="1" applyFont="1" applyFill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0" xfId="0" applyNumberFormat="1"/>
    <xf numFmtId="10" fontId="0" fillId="0" borderId="1" xfId="0" applyNumberFormat="1" applyBorder="1"/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 Fuel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'Fuel Ratio'!$E$1</c:f>
              <c:strCache>
                <c:ptCount val="1"/>
                <c:pt idx="0">
                  <c:v>Fuel Ratio Asli (L/bcm)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'Fuel Ratio'!$A$2:$A$13</c:f>
              <c:strCache>
                <c:ptCount val="12"/>
                <c:pt idx="0">
                  <c:v>HT416</c:v>
                </c:pt>
                <c:pt idx="1">
                  <c:v>HT419</c:v>
                </c:pt>
                <c:pt idx="2">
                  <c:v>HT420</c:v>
                </c:pt>
                <c:pt idx="3">
                  <c:v>HT421</c:v>
                </c:pt>
                <c:pt idx="4">
                  <c:v>HT424</c:v>
                </c:pt>
                <c:pt idx="5">
                  <c:v>HT425</c:v>
                </c:pt>
                <c:pt idx="6">
                  <c:v>HT426</c:v>
                </c:pt>
                <c:pt idx="7">
                  <c:v>HT427</c:v>
                </c:pt>
                <c:pt idx="8">
                  <c:v>HT429</c:v>
                </c:pt>
                <c:pt idx="9">
                  <c:v>HT431</c:v>
                </c:pt>
                <c:pt idx="10">
                  <c:v>HT432</c:v>
                </c:pt>
                <c:pt idx="11">
                  <c:v>HT433</c:v>
                </c:pt>
              </c:strCache>
            </c:strRef>
          </c:cat>
          <c:val>
            <c:numRef>
              <c:f>'Fuel Ratio'!$E$2:$E$13</c:f>
              <c:numCache>
                <c:formatCode>0.00%</c:formatCode>
                <c:ptCount val="12"/>
                <c:pt idx="0">
                  <c:v>0</c:v>
                </c:pt>
                <c:pt idx="1">
                  <c:v>5.8437331719840011E-3</c:v>
                </c:pt>
                <c:pt idx="2">
                  <c:v>4.8201124304930332E-3</c:v>
                </c:pt>
                <c:pt idx="3">
                  <c:v>5.4319685789828518E-3</c:v>
                </c:pt>
                <c:pt idx="4">
                  <c:v>4.1267349817270763E-3</c:v>
                </c:pt>
                <c:pt idx="5">
                  <c:v>5.9328300991445156E-3</c:v>
                </c:pt>
                <c:pt idx="6">
                  <c:v>5.5558131224017282E-3</c:v>
                </c:pt>
                <c:pt idx="7">
                  <c:v>5.6262253490408139E-3</c:v>
                </c:pt>
                <c:pt idx="8">
                  <c:v>5.5155316362417404E-3</c:v>
                </c:pt>
                <c:pt idx="9">
                  <c:v>4.1327766017388917E-3</c:v>
                </c:pt>
                <c:pt idx="10">
                  <c:v>4.7224078119613901E-3</c:v>
                </c:pt>
                <c:pt idx="11">
                  <c:v>5.3902056775089252E-3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C-48CE-A669-6D423C371BC8}"/>
            </c:ext>
          </c:extLst>
        </c:ser>
        <c:ser>
          <c:idx val="1"/>
          <c:order val="1"/>
          <c:tx>
            <c:strRef>
              <c:f>'Fuel Ratio'!$F$1</c:f>
              <c:strCache>
                <c:ptCount val="1"/>
                <c:pt idx="0">
                  <c:v>Fuel Ratio Simulasi (L/bcm)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'Fuel Ratio'!$F$2:$F$13</c:f>
              <c:numCache>
                <c:formatCode>0.00%</c:formatCode>
                <c:ptCount val="12"/>
                <c:pt idx="0">
                  <c:v>0</c:v>
                </c:pt>
                <c:pt idx="1">
                  <c:v>5.3124847018036379E-3</c:v>
                </c:pt>
                <c:pt idx="2">
                  <c:v>4.3819203913573026E-3</c:v>
                </c:pt>
                <c:pt idx="3">
                  <c:v>4.9381532536207744E-3</c:v>
                </c:pt>
                <c:pt idx="4">
                  <c:v>3.7515772561155241E-3</c:v>
                </c:pt>
                <c:pt idx="5">
                  <c:v>5.3934819083131958E-3</c:v>
                </c:pt>
                <c:pt idx="6">
                  <c:v>5.0507392021833901E-3</c:v>
                </c:pt>
                <c:pt idx="7">
                  <c:v>5.1147503173098316E-3</c:v>
                </c:pt>
                <c:pt idx="8">
                  <c:v>5.0141196693106729E-3</c:v>
                </c:pt>
                <c:pt idx="9">
                  <c:v>3.7570696379444473E-3</c:v>
                </c:pt>
                <c:pt idx="10">
                  <c:v>4.2930980108739913E-3</c:v>
                </c:pt>
                <c:pt idx="11">
                  <c:v>4.9001869795535676E-3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C-48CE-A669-6D423C371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563471"/>
        <c:axId val="880563951"/>
      </c:barChart>
      <c:catAx>
        <c:axId val="88056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63951"/>
        <c:crosses val="autoZero"/>
        <c:auto val="1"/>
        <c:lblAlgn val="ctr"/>
        <c:lblOffset val="100"/>
        <c:noMultiLvlLbl val="0"/>
      </c:catAx>
      <c:valAx>
        <c:axId val="88056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Ratio (bcm/liter)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6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'Fuel Ratio'!$E$1</c:f>
              <c:strCache>
                <c:ptCount val="1"/>
                <c:pt idx="0">
                  <c:v>Fuel Ratio Asli (L/bcm)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910615761645913"/>
                  <c:y val="-1.81922712246478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'Fuel Ratio'!$E$2:$E$13</c:f>
              <c:numCache>
                <c:formatCode>0.00%</c:formatCode>
                <c:ptCount val="12"/>
                <c:pt idx="0">
                  <c:v>0</c:v>
                </c:pt>
                <c:pt idx="1">
                  <c:v>5.8437331719840011E-3</c:v>
                </c:pt>
                <c:pt idx="2">
                  <c:v>4.8201124304930332E-3</c:v>
                </c:pt>
                <c:pt idx="3">
                  <c:v>5.4319685789828518E-3</c:v>
                </c:pt>
                <c:pt idx="4">
                  <c:v>4.1267349817270763E-3</c:v>
                </c:pt>
                <c:pt idx="5">
                  <c:v>5.9328300991445156E-3</c:v>
                </c:pt>
                <c:pt idx="6">
                  <c:v>5.5558131224017282E-3</c:v>
                </c:pt>
                <c:pt idx="7">
                  <c:v>5.6262253490408139E-3</c:v>
                </c:pt>
                <c:pt idx="8">
                  <c:v>5.5155316362417404E-3</c:v>
                </c:pt>
                <c:pt idx="9">
                  <c:v>4.1327766017388917E-3</c:v>
                </c:pt>
                <c:pt idx="10">
                  <c:v>4.7224078119613901E-3</c:v>
                </c:pt>
                <c:pt idx="11">
                  <c:v>5.3902056775089252E-3</c:v>
                </c:pt>
              </c:numCache>
            </c:numRef>
          </c:xVal>
          <c:yVal>
            <c:numRef>
              <c:f>'Fuel Ratio'!$H$2:$H$13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85-44DE-AB0A-F59DB90B1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573551"/>
        <c:axId val="880574031"/>
      </c:scatterChart>
      <c:valAx>
        <c:axId val="88057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Jarak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74031"/>
        <c:crosses val="autoZero"/>
        <c:crossBetween val="midCat"/>
      </c:valAx>
      <c:valAx>
        <c:axId val="88057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Ratio (bcm/liter)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7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Produktivitas Asli vs Fuel Ratio Asli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'Fuel Ratio'!$B$1</c:f>
              <c:strCache>
                <c:ptCount val="1"/>
                <c:pt idx="0">
                  <c:v>Produktivitas (bcm/Jam)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623734344776909E-2"/>
                  <c:y val="6.04247426065220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'Fuel Ratio'!$E$2:$E$13</c:f>
              <c:numCache>
                <c:formatCode>0.00%</c:formatCode>
                <c:ptCount val="12"/>
                <c:pt idx="0">
                  <c:v>0</c:v>
                </c:pt>
                <c:pt idx="1">
                  <c:v>5.8437331719840011E-3</c:v>
                </c:pt>
                <c:pt idx="2">
                  <c:v>4.8201124304930332E-3</c:v>
                </c:pt>
                <c:pt idx="3">
                  <c:v>5.4319685789828518E-3</c:v>
                </c:pt>
                <c:pt idx="4">
                  <c:v>4.1267349817270763E-3</c:v>
                </c:pt>
                <c:pt idx="5">
                  <c:v>5.9328300991445156E-3</c:v>
                </c:pt>
                <c:pt idx="6">
                  <c:v>5.5558131224017282E-3</c:v>
                </c:pt>
                <c:pt idx="7">
                  <c:v>5.6262253490408139E-3</c:v>
                </c:pt>
                <c:pt idx="8">
                  <c:v>5.5155316362417404E-3</c:v>
                </c:pt>
                <c:pt idx="9">
                  <c:v>4.1327766017388917E-3</c:v>
                </c:pt>
                <c:pt idx="10">
                  <c:v>4.7224078119613901E-3</c:v>
                </c:pt>
                <c:pt idx="11">
                  <c:v>5.3902056775089252E-3</c:v>
                </c:pt>
              </c:numCache>
            </c:numRef>
          </c:xVal>
          <c:yVal>
            <c:numRef>
              <c:f>'Fuel Ratio'!$B$2:$B$13</c:f>
              <c:numCache>
                <c:formatCode>0.00</c:formatCode>
                <c:ptCount val="12"/>
                <c:pt idx="0">
                  <c:v>133.41176470588238</c:v>
                </c:pt>
                <c:pt idx="1">
                  <c:v>129.50749464668095</c:v>
                </c:pt>
                <c:pt idx="2">
                  <c:v>136.01199400299851</c:v>
                </c:pt>
                <c:pt idx="3">
                  <c:v>134.20118343195267</c:v>
                </c:pt>
                <c:pt idx="4">
                  <c:v>124.35915010281015</c:v>
                </c:pt>
                <c:pt idx="5">
                  <c:v>135.40298507462688</c:v>
                </c:pt>
                <c:pt idx="6">
                  <c:v>131.66908563134979</c:v>
                </c:pt>
                <c:pt idx="7">
                  <c:v>129.50749464668095</c:v>
                </c:pt>
                <c:pt idx="8">
                  <c:v>130.81470800288395</c:v>
                </c:pt>
                <c:pt idx="9">
                  <c:v>115.71428571428574</c:v>
                </c:pt>
                <c:pt idx="10">
                  <c:v>136.11402850712679</c:v>
                </c:pt>
                <c:pt idx="11">
                  <c:v>114.11320754716981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A-4CCC-9629-90480FC60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993311"/>
        <c:axId val="951994271"/>
      </c:scatterChart>
      <c:valAx>
        <c:axId val="95199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Ratio (L/bcm)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994271"/>
        <c:crosses val="autoZero"/>
        <c:crossBetween val="midCat"/>
      </c:valAx>
      <c:valAx>
        <c:axId val="95199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Produktivitas (bcm/Jam)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99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Produktivitas Simulasi vs Fuel Ratio Simulasi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455247993788289E-2"/>
                  <c:y val="6.1540019417508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'Fuel Ratio'!$F$2:$F$13</c:f>
              <c:numCache>
                <c:formatCode>0.00%</c:formatCode>
                <c:ptCount val="12"/>
                <c:pt idx="0">
                  <c:v>0</c:v>
                </c:pt>
                <c:pt idx="1">
                  <c:v>5.3124847018036379E-3</c:v>
                </c:pt>
                <c:pt idx="2">
                  <c:v>4.3819203913573026E-3</c:v>
                </c:pt>
                <c:pt idx="3">
                  <c:v>4.9381532536207744E-3</c:v>
                </c:pt>
                <c:pt idx="4">
                  <c:v>3.7515772561155241E-3</c:v>
                </c:pt>
                <c:pt idx="5">
                  <c:v>5.3934819083131958E-3</c:v>
                </c:pt>
                <c:pt idx="6">
                  <c:v>5.0507392021833901E-3</c:v>
                </c:pt>
                <c:pt idx="7">
                  <c:v>5.1147503173098316E-3</c:v>
                </c:pt>
                <c:pt idx="8">
                  <c:v>5.0141196693106729E-3</c:v>
                </c:pt>
                <c:pt idx="9">
                  <c:v>3.7570696379444473E-3</c:v>
                </c:pt>
                <c:pt idx="10">
                  <c:v>4.2930980108739913E-3</c:v>
                </c:pt>
                <c:pt idx="11">
                  <c:v>4.9001869795535676E-3</c:v>
                </c:pt>
              </c:numCache>
            </c:numRef>
          </c:xVal>
          <c:yVal>
            <c:numRef>
              <c:f>'Fuel Ratio'!$C$2:$C$13</c:f>
              <c:numCache>
                <c:formatCode>0.00</c:formatCode>
                <c:ptCount val="12"/>
                <c:pt idx="0">
                  <c:v>146.75294117647061</c:v>
                </c:pt>
                <c:pt idx="1">
                  <c:v>142.45824411134905</c:v>
                </c:pt>
                <c:pt idx="2">
                  <c:v>149.61319340329837</c:v>
                </c:pt>
                <c:pt idx="3">
                  <c:v>147.62130177514794</c:v>
                </c:pt>
                <c:pt idx="4">
                  <c:v>136.79506511309117</c:v>
                </c:pt>
                <c:pt idx="5">
                  <c:v>148.94328358208958</c:v>
                </c:pt>
                <c:pt idx="6">
                  <c:v>144.83599419448475</c:v>
                </c:pt>
                <c:pt idx="7">
                  <c:v>142.45824411134905</c:v>
                </c:pt>
                <c:pt idx="8">
                  <c:v>143.89617880317235</c:v>
                </c:pt>
                <c:pt idx="9">
                  <c:v>127.28571428571431</c:v>
                </c:pt>
                <c:pt idx="10">
                  <c:v>149.72543135783945</c:v>
                </c:pt>
                <c:pt idx="11">
                  <c:v>125.52452830188679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AA-4446-B586-4DF02315E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447023"/>
        <c:axId val="969445583"/>
      </c:scatterChart>
      <c:valAx>
        <c:axId val="96944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Ratio (L/bcm)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45583"/>
        <c:crosses val="autoZero"/>
        <c:crossBetween val="midCat"/>
      </c:valAx>
      <c:valAx>
        <c:axId val="96944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Produktivitas (bcm/Jam)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4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HT416'!$I$3:$I$7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F-4888-BD56-AA9663574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HT416'!$J$3:$J$7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A-4E84-849C-3066240D3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HT416'!$T$3:$T$7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F7-4C67-BD49-25798B33F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HT416'!$U$3:$U$7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A8-4466-9803-0F6F1A931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HT416'!$AE$3:$AE$7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56-4079-8C09-2DC8D0B98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HT416'!$AF$3:$AF$7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FC-409F-8E1A-2FE3F828A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HT416'!$AP$3:$AP$7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41-481B-AB73-3EE8B422A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HT416'!$AQ$3:$AQ$7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A-4534-ADE4-4C4416EAA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HT416'!$BA$3:$BA$7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28-4C4C-ADB1-B57009006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HT416'!$BB$3:$BB$7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4F-40BB-A714-1A2955BD5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HT419'!$I$3:$I$7</c:f>
              <c:numCache>
                <c:formatCode>General</c:formatCode>
                <c:ptCount val="5"/>
                <c:pt idx="0">
                  <c:v>9.1783839269885786E-2</c:v>
                </c:pt>
                <c:pt idx="1">
                  <c:v>9.1783839269885786E-2</c:v>
                </c:pt>
                <c:pt idx="2">
                  <c:v>-0.1985150182511079</c:v>
                </c:pt>
                <c:pt idx="3">
                  <c:v>9.1783839269885786E-2</c:v>
                </c:pt>
                <c:pt idx="4">
                  <c:v>0.10849985126880581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B6-4357-9B54-4B779773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HT419'!$J$3:$J$7</c:f>
              <c:numCache>
                <c:formatCode>General</c:formatCode>
                <c:ptCount val="5"/>
                <c:pt idx="0">
                  <c:v>0.10022238068884198</c:v>
                </c:pt>
                <c:pt idx="1">
                  <c:v>0.10022238068884198</c:v>
                </c:pt>
                <c:pt idx="2">
                  <c:v>0.14508367318277182</c:v>
                </c:pt>
                <c:pt idx="3">
                  <c:v>0.10022238068884198</c:v>
                </c:pt>
                <c:pt idx="4">
                  <c:v>0.12572007641069693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80-4320-9FC2-B30470BEB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HT419'!$I$3:$I$7</c:f>
              <c:numCache>
                <c:formatCode>General</c:formatCode>
                <c:ptCount val="5"/>
                <c:pt idx="0">
                  <c:v>9.1783839269885786E-2</c:v>
                </c:pt>
                <c:pt idx="1">
                  <c:v>9.1783839269885786E-2</c:v>
                </c:pt>
                <c:pt idx="2">
                  <c:v>-0.1985150182511079</c:v>
                </c:pt>
                <c:pt idx="3">
                  <c:v>9.1783839269885786E-2</c:v>
                </c:pt>
                <c:pt idx="4">
                  <c:v>0.10849985126880581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AC-428F-AD6D-4371FE5EB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HT419'!$J$3:$J$7</c:f>
              <c:numCache>
                <c:formatCode>General</c:formatCode>
                <c:ptCount val="5"/>
                <c:pt idx="0">
                  <c:v>0.10022238068884198</c:v>
                </c:pt>
                <c:pt idx="1">
                  <c:v>0.10022238068884198</c:v>
                </c:pt>
                <c:pt idx="2">
                  <c:v>0.14508367318277182</c:v>
                </c:pt>
                <c:pt idx="3">
                  <c:v>0.10022238068884198</c:v>
                </c:pt>
                <c:pt idx="4">
                  <c:v>0.12572007641069693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A8-4AEE-A4FB-C20CB7B91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HT419'!$T$3:$T$7</c:f>
              <c:numCache>
                <c:formatCode>General</c:formatCode>
                <c:ptCount val="5"/>
                <c:pt idx="0">
                  <c:v>7.8974781408009037E-2</c:v>
                </c:pt>
                <c:pt idx="1">
                  <c:v>7.8974781408009037E-2</c:v>
                </c:pt>
                <c:pt idx="2">
                  <c:v>-6.173372772249653E-2</c:v>
                </c:pt>
                <c:pt idx="3">
                  <c:v>7.8974781408009037E-2</c:v>
                </c:pt>
                <c:pt idx="4">
                  <c:v>9.3357960452705002E-2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B5-466E-AEDD-D12AB4CFC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HT419'!$U$3:$U$7</c:f>
              <c:numCache>
                <c:formatCode>General</c:formatCode>
                <c:ptCount val="5"/>
                <c:pt idx="0">
                  <c:v>0.11132036377580462</c:v>
                </c:pt>
                <c:pt idx="1">
                  <c:v>0.11132036377580462</c:v>
                </c:pt>
                <c:pt idx="2">
                  <c:v>2.1037891241903476E-2</c:v>
                </c:pt>
                <c:pt idx="3">
                  <c:v>0.11132036377580462</c:v>
                </c:pt>
                <c:pt idx="4">
                  <c:v>0.13325968296379712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41-45FA-A1F4-AC11AF394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HT419'!$AE$3:$AE$7</c:f>
              <c:numCache>
                <c:formatCode>General</c:formatCode>
                <c:ptCount val="5"/>
                <c:pt idx="0">
                  <c:v>6.4174228179623816E-2</c:v>
                </c:pt>
                <c:pt idx="1">
                  <c:v>6.4174228179623816E-2</c:v>
                </c:pt>
                <c:pt idx="2">
                  <c:v>9.7084659336657816E-2</c:v>
                </c:pt>
                <c:pt idx="3">
                  <c:v>6.4174228179623816E-2</c:v>
                </c:pt>
                <c:pt idx="4">
                  <c:v>7.5861875774291238E-2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2-4B9E-871D-FD4B8C623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HT419'!$AF$3:$AF$7</c:f>
              <c:numCache>
                <c:formatCode>General</c:formatCode>
                <c:ptCount val="5"/>
                <c:pt idx="0">
                  <c:v>9.0457970235834462E-2</c:v>
                </c:pt>
                <c:pt idx="1">
                  <c:v>9.0457970235834462E-2</c:v>
                </c:pt>
                <c:pt idx="2">
                  <c:v>1.1678439802786468E-2</c:v>
                </c:pt>
                <c:pt idx="3">
                  <c:v>9.0457970235834462E-2</c:v>
                </c:pt>
                <c:pt idx="4">
                  <c:v>0.10828567232723962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4F-4177-8249-5F73B992A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HT419'!$AP$3:$AP$7</c:f>
              <c:numCache>
                <c:formatCode>General</c:formatCode>
                <c:ptCount val="5"/>
                <c:pt idx="0">
                  <c:v>7.8061575894075544E-2</c:v>
                </c:pt>
                <c:pt idx="1">
                  <c:v>7.8061575894075544E-2</c:v>
                </c:pt>
                <c:pt idx="2">
                  <c:v>-0.11595965291009303</c:v>
                </c:pt>
                <c:pt idx="3">
                  <c:v>7.8061575894075544E-2</c:v>
                </c:pt>
                <c:pt idx="4">
                  <c:v>9.2278438575784077E-2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2C-42DA-A950-9ACC8C12B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HT419'!$AQ$3:$AQ$7</c:f>
              <c:numCache>
                <c:formatCode>General</c:formatCode>
                <c:ptCount val="5"/>
                <c:pt idx="0">
                  <c:v>0.11003313805386249</c:v>
                </c:pt>
                <c:pt idx="1">
                  <c:v>0.11003313805386249</c:v>
                </c:pt>
                <c:pt idx="2">
                  <c:v>8.4485547672159544E-2</c:v>
                </c:pt>
                <c:pt idx="3">
                  <c:v>0.11003313805386249</c:v>
                </c:pt>
                <c:pt idx="4">
                  <c:v>0.13171876730568521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97-4CF2-A1AB-9C0EAE486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HT419'!$BA$3:$BA$7</c:f>
              <c:numCache>
                <c:formatCode>General</c:formatCode>
                <c:ptCount val="5"/>
                <c:pt idx="0">
                  <c:v>6.5082842120925508E-2</c:v>
                </c:pt>
                <c:pt idx="1">
                  <c:v>6.5082842120925508E-2</c:v>
                </c:pt>
                <c:pt idx="2">
                  <c:v>0.13937819397139048</c:v>
                </c:pt>
                <c:pt idx="3">
                  <c:v>6.5082842120925508E-2</c:v>
                </c:pt>
                <c:pt idx="4">
                  <c:v>7.6935969844404331E-2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10-489B-8472-6125984E9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HT419'!$AT$3:$AT$7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HT419'!$BB$3:$BB$7</c:f>
              <c:numCache>
                <c:formatCode>General</c:formatCode>
                <c:ptCount val="5"/>
                <c:pt idx="0">
                  <c:v>9.1738723821652116E-2</c:v>
                </c:pt>
                <c:pt idx="1">
                  <c:v>9.1738723821652116E-2</c:v>
                </c:pt>
                <c:pt idx="2">
                  <c:v>-3.9790459459265237E-2</c:v>
                </c:pt>
                <c:pt idx="3">
                  <c:v>9.1738723821652116E-2</c:v>
                </c:pt>
                <c:pt idx="4">
                  <c:v>0.10981884030308756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5B-4532-BE17-ED0E841BB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HT420'!$I$3:$I$7</c:f>
              <c:numCache>
                <c:formatCode>General</c:formatCode>
                <c:ptCount val="5"/>
                <c:pt idx="0">
                  <c:v>7.950882155079976E-2</c:v>
                </c:pt>
                <c:pt idx="1">
                  <c:v>7.950882155079976E-2</c:v>
                </c:pt>
                <c:pt idx="2">
                  <c:v>-0.17196595050758262</c:v>
                </c:pt>
                <c:pt idx="3">
                  <c:v>7.950882155079976E-2</c:v>
                </c:pt>
                <c:pt idx="4">
                  <c:v>9.3989261959868897E-2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81-4CEF-9A9A-8778792EA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HT420'!$J$3:$J$7</c:f>
              <c:numCache>
                <c:formatCode>General</c:formatCode>
                <c:ptCount val="5"/>
                <c:pt idx="0">
                  <c:v>8.6818806502028056E-2</c:v>
                </c:pt>
                <c:pt idx="1">
                  <c:v>8.6818806502028056E-2</c:v>
                </c:pt>
                <c:pt idx="2">
                  <c:v>0.12568042449285868</c:v>
                </c:pt>
                <c:pt idx="3">
                  <c:v>8.6818806502028056E-2</c:v>
                </c:pt>
                <c:pt idx="4">
                  <c:v>0.10890648288636852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B0-42A5-AE15-80AD51A84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HT420'!$I$3:$I$7</c:f>
              <c:numCache>
                <c:formatCode>General</c:formatCode>
                <c:ptCount val="5"/>
                <c:pt idx="0">
                  <c:v>7.950882155079976E-2</c:v>
                </c:pt>
                <c:pt idx="1">
                  <c:v>7.950882155079976E-2</c:v>
                </c:pt>
                <c:pt idx="2">
                  <c:v>-0.17196595050758262</c:v>
                </c:pt>
                <c:pt idx="3">
                  <c:v>7.950882155079976E-2</c:v>
                </c:pt>
                <c:pt idx="4">
                  <c:v>9.3989261959868897E-2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6-4595-9F9C-BDE0788B7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HT420'!$J$3:$J$7</c:f>
              <c:numCache>
                <c:formatCode>General</c:formatCode>
                <c:ptCount val="5"/>
                <c:pt idx="0">
                  <c:v>8.6818806502028056E-2</c:v>
                </c:pt>
                <c:pt idx="1">
                  <c:v>8.6818806502028056E-2</c:v>
                </c:pt>
                <c:pt idx="2">
                  <c:v>0.12568042449285868</c:v>
                </c:pt>
                <c:pt idx="3">
                  <c:v>8.6818806502028056E-2</c:v>
                </c:pt>
                <c:pt idx="4">
                  <c:v>0.10890648288636852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93-4C26-BDF4-614B57BC0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HT420'!$T$3:$T$7</c:f>
              <c:numCache>
                <c:formatCode>General</c:formatCode>
                <c:ptCount val="5"/>
                <c:pt idx="0">
                  <c:v>6.8412825742875716E-2</c:v>
                </c:pt>
                <c:pt idx="1">
                  <c:v>6.8412825742875716E-2</c:v>
                </c:pt>
                <c:pt idx="2">
                  <c:v>-5.3477561847470816E-2</c:v>
                </c:pt>
                <c:pt idx="3">
                  <c:v>6.8412825742875716E-2</c:v>
                </c:pt>
                <c:pt idx="4">
                  <c:v>8.0872422389680468E-2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4A-40E0-9F0A-DE3178DC9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HT420'!$U$3:$U$7</c:f>
              <c:numCache>
                <c:formatCode>General</c:formatCode>
                <c:ptCount val="5"/>
                <c:pt idx="0">
                  <c:v>9.6432563824169371E-2</c:v>
                </c:pt>
                <c:pt idx="1">
                  <c:v>9.6432563824169371E-2</c:v>
                </c:pt>
                <c:pt idx="2">
                  <c:v>1.8224318723900318E-2</c:v>
                </c:pt>
                <c:pt idx="3">
                  <c:v>9.6432563824169371E-2</c:v>
                </c:pt>
                <c:pt idx="4">
                  <c:v>0.11543775502275173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DA-4B81-BC66-2A5ABAF64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HT420'!$AE$3:$AE$7</c:f>
              <c:numCache>
                <c:formatCode>General</c:formatCode>
                <c:ptCount val="5"/>
                <c:pt idx="0">
                  <c:v>5.55916738402129E-2</c:v>
                </c:pt>
                <c:pt idx="1">
                  <c:v>5.55916738402129E-2</c:v>
                </c:pt>
                <c:pt idx="2">
                  <c:v>8.4100718774913347E-2</c:v>
                </c:pt>
                <c:pt idx="3">
                  <c:v>5.55916738402129E-2</c:v>
                </c:pt>
                <c:pt idx="4">
                  <c:v>6.57162349213916E-2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CD-4D4D-BE0A-C3E8F7505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HT420'!$AF$3:$AF$7</c:f>
              <c:numCache>
                <c:formatCode>General</c:formatCode>
                <c:ptCount val="5"/>
                <c:pt idx="0">
                  <c:v>7.836027203198806E-2</c:v>
                </c:pt>
                <c:pt idx="1">
                  <c:v>7.836027203198806E-2</c:v>
                </c:pt>
                <c:pt idx="2">
                  <c:v>1.0116584724040405E-2</c:v>
                </c:pt>
                <c:pt idx="3">
                  <c:v>7.836027203198806E-2</c:v>
                </c:pt>
                <c:pt idx="4">
                  <c:v>9.3803726953048672E-2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7E-44AB-875E-8A8B46738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HT420'!$AP$3:$AP$7</c:f>
              <c:numCache>
                <c:formatCode>General</c:formatCode>
                <c:ptCount val="5"/>
                <c:pt idx="0">
                  <c:v>6.7621750812647055E-2</c:v>
                </c:pt>
                <c:pt idx="1">
                  <c:v>6.7621750812647055E-2</c:v>
                </c:pt>
                <c:pt idx="2">
                  <c:v>-0.10045140216036136</c:v>
                </c:pt>
                <c:pt idx="3">
                  <c:v>6.7621750812647055E-2</c:v>
                </c:pt>
                <c:pt idx="4">
                  <c:v>7.9937273969707456E-2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55-4F63-A957-A67B0A448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HT420'!$AQ$3:$AQ$7</c:f>
              <c:numCache>
                <c:formatCode>General</c:formatCode>
                <c:ptCount val="5"/>
                <c:pt idx="0">
                  <c:v>9.5317489525299032E-2</c:v>
                </c:pt>
                <c:pt idx="1">
                  <c:v>9.5317489525299032E-2</c:v>
                </c:pt>
                <c:pt idx="2">
                  <c:v>7.3186591309776214E-2</c:v>
                </c:pt>
                <c:pt idx="3">
                  <c:v>9.5317489525299032E-2</c:v>
                </c:pt>
                <c:pt idx="4">
                  <c:v>0.11410291885703634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71-45CE-97B3-6961CEC54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HT420'!$BA$3:$BA$7</c:f>
              <c:numCache>
                <c:formatCode>General</c:formatCode>
                <c:ptCount val="5"/>
                <c:pt idx="0">
                  <c:v>5.6378771267082343E-2</c:v>
                </c:pt>
                <c:pt idx="1">
                  <c:v>5.6378771267082343E-2</c:v>
                </c:pt>
                <c:pt idx="2">
                  <c:v>0.12073798656382825</c:v>
                </c:pt>
                <c:pt idx="3">
                  <c:v>5.6378771267082343E-2</c:v>
                </c:pt>
                <c:pt idx="4">
                  <c:v>6.6646681440394581E-2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65-48CA-BD30-F93E9231F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HT420'!$AT$3:$AT$7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HT420'!$BB$3:$BB$7</c:f>
              <c:numCache>
                <c:formatCode>General</c:formatCode>
                <c:ptCount val="5"/>
                <c:pt idx="0">
                  <c:v>7.9469739767434308E-2</c:v>
                </c:pt>
                <c:pt idx="1">
                  <c:v>7.9469739767434308E-2</c:v>
                </c:pt>
                <c:pt idx="2">
                  <c:v>-3.44689497163915E-2</c:v>
                </c:pt>
                <c:pt idx="3">
                  <c:v>7.9469739767434308E-2</c:v>
                </c:pt>
                <c:pt idx="4">
                  <c:v>9.5131851598615647E-2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B8-4C60-9C89-0904A918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HT421'!$I$3:$I$7</c:f>
              <c:numCache>
                <c:formatCode>General</c:formatCode>
                <c:ptCount val="5"/>
                <c:pt idx="0">
                  <c:v>8.8408604463976692E-2</c:v>
                </c:pt>
                <c:pt idx="1">
                  <c:v>8.8408604463976692E-2</c:v>
                </c:pt>
                <c:pt idx="2">
                  <c:v>-0.19121487909342227</c:v>
                </c:pt>
                <c:pt idx="3">
                  <c:v>8.8408604463976692E-2</c:v>
                </c:pt>
                <c:pt idx="4">
                  <c:v>0.10450990622672053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CF-41F2-8887-7BF427965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HT421'!$J$3:$J$7</c:f>
              <c:numCache>
                <c:formatCode>General</c:formatCode>
                <c:ptCount val="5"/>
                <c:pt idx="0">
                  <c:v>9.6536829176474187E-2</c:v>
                </c:pt>
                <c:pt idx="1">
                  <c:v>9.6536829176474187E-2</c:v>
                </c:pt>
                <c:pt idx="2">
                  <c:v>0.1397484042793245</c:v>
                </c:pt>
                <c:pt idx="3">
                  <c:v>9.6536829176474187E-2</c:v>
                </c:pt>
                <c:pt idx="4">
                  <c:v>0.12109687933070556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42-463C-A638-F64ED9CD2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HT421'!$I$3:$I$7</c:f>
              <c:numCache>
                <c:formatCode>General</c:formatCode>
                <c:ptCount val="5"/>
                <c:pt idx="0">
                  <c:v>8.8408604463976692E-2</c:v>
                </c:pt>
                <c:pt idx="1">
                  <c:v>8.8408604463976692E-2</c:v>
                </c:pt>
                <c:pt idx="2">
                  <c:v>-0.19121487909342227</c:v>
                </c:pt>
                <c:pt idx="3">
                  <c:v>8.8408604463976692E-2</c:v>
                </c:pt>
                <c:pt idx="4">
                  <c:v>0.10450990622672053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65-49DA-A890-CFE10C241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HT421'!$J$3:$J$7</c:f>
              <c:numCache>
                <c:formatCode>General</c:formatCode>
                <c:ptCount val="5"/>
                <c:pt idx="0">
                  <c:v>9.6536829176474187E-2</c:v>
                </c:pt>
                <c:pt idx="1">
                  <c:v>9.6536829176474187E-2</c:v>
                </c:pt>
                <c:pt idx="2">
                  <c:v>0.1397484042793245</c:v>
                </c:pt>
                <c:pt idx="3">
                  <c:v>9.6536829176474187E-2</c:v>
                </c:pt>
                <c:pt idx="4">
                  <c:v>0.12109687933070556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BE-4E4F-8AAF-39966E0BE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HT421'!$T$3:$T$7</c:f>
              <c:numCache>
                <c:formatCode>General</c:formatCode>
                <c:ptCount val="5"/>
                <c:pt idx="0">
                  <c:v>7.6070583532677497E-2</c:v>
                </c:pt>
                <c:pt idx="1">
                  <c:v>7.6070583532677497E-2</c:v>
                </c:pt>
                <c:pt idx="2">
                  <c:v>-5.9463547828465343E-2</c:v>
                </c:pt>
                <c:pt idx="3">
                  <c:v>7.6070583532677497E-2</c:v>
                </c:pt>
                <c:pt idx="4">
                  <c:v>8.9924839327731113E-2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80-4C76-8CAA-1BD163AB8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HT421'!$U$3:$U$7</c:f>
              <c:numCache>
                <c:formatCode>General</c:formatCode>
                <c:ptCount val="5"/>
                <c:pt idx="0">
                  <c:v>0.10722669794736031</c:v>
                </c:pt>
                <c:pt idx="1">
                  <c:v>0.10722669794736031</c:v>
                </c:pt>
                <c:pt idx="2">
                  <c:v>2.0264249353228417E-2</c:v>
                </c:pt>
                <c:pt idx="3">
                  <c:v>0.10722669794736031</c:v>
                </c:pt>
                <c:pt idx="4">
                  <c:v>0.12835922637207342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38-4164-909B-A1A6E9F5D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HT421'!$AE$3:$AE$7</c:f>
              <c:numCache>
                <c:formatCode>General</c:formatCode>
                <c:ptCount val="5"/>
                <c:pt idx="0">
                  <c:v>6.1814301962576958E-2</c:v>
                </c:pt>
                <c:pt idx="1">
                  <c:v>6.1814301962576958E-2</c:v>
                </c:pt>
                <c:pt idx="2">
                  <c:v>9.3514493565433357E-2</c:v>
                </c:pt>
                <c:pt idx="3">
                  <c:v>6.1814301962576958E-2</c:v>
                </c:pt>
                <c:pt idx="4">
                  <c:v>7.3072151073387936E-2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A6-4769-AA3C-5497C4D73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HT421'!$AF$3:$AF$7</c:f>
              <c:numCache>
                <c:formatCode>General</c:formatCode>
                <c:ptCount val="5"/>
                <c:pt idx="0">
                  <c:v>8.7131492589654205E-2</c:v>
                </c:pt>
                <c:pt idx="1">
                  <c:v>8.7131492589654205E-2</c:v>
                </c:pt>
                <c:pt idx="2">
                  <c:v>1.1248979923850985E-2</c:v>
                </c:pt>
                <c:pt idx="3">
                  <c:v>8.7131492589654205E-2</c:v>
                </c:pt>
                <c:pt idx="4">
                  <c:v>0.1043036034453152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63-4E4F-93D0-6CF1AD547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HT421'!$AP$3:$AP$7</c:f>
              <c:numCache>
                <c:formatCode>General</c:formatCode>
                <c:ptCount val="5"/>
                <c:pt idx="0">
                  <c:v>7.5190959998535825E-2</c:v>
                </c:pt>
                <c:pt idx="1">
                  <c:v>7.5190959998535825E-2</c:v>
                </c:pt>
                <c:pt idx="2">
                  <c:v>-0.11169538308114833</c:v>
                </c:pt>
                <c:pt idx="3">
                  <c:v>7.5190959998535825E-2</c:v>
                </c:pt>
                <c:pt idx="4">
                  <c:v>8.8885015504865314E-2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B3-415D-A65C-282F7ED34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HT421'!$AQ$3:$AQ$7</c:f>
              <c:numCache>
                <c:formatCode>General</c:formatCode>
                <c:ptCount val="5"/>
                <c:pt idx="0">
                  <c:v>0.10598680832613395</c:v>
                </c:pt>
                <c:pt idx="1">
                  <c:v>0.10598680832613395</c:v>
                </c:pt>
                <c:pt idx="2">
                  <c:v>8.1378698325175164E-2</c:v>
                </c:pt>
                <c:pt idx="3">
                  <c:v>0.10598680832613395</c:v>
                </c:pt>
                <c:pt idx="4">
                  <c:v>0.12687497594177943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C-47B3-BC49-C430BADD9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HT421'!$BA$3:$BA$7</c:f>
              <c:numCache>
                <c:formatCode>General</c:formatCode>
                <c:ptCount val="5"/>
                <c:pt idx="0">
                  <c:v>6.2689502773373207E-2</c:v>
                </c:pt>
                <c:pt idx="1">
                  <c:v>6.2689502773373207E-2</c:v>
                </c:pt>
                <c:pt idx="2">
                  <c:v>0.13425273686239228</c:v>
                </c:pt>
                <c:pt idx="3">
                  <c:v>6.2689502773373207E-2</c:v>
                </c:pt>
                <c:pt idx="4">
                  <c:v>7.4106746690188283E-2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C-41B4-9B1C-1A238DEB2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HT421'!$AT$3:$AT$7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HT421'!$BB$3:$BB$7</c:f>
              <c:numCache>
                <c:formatCode>General</c:formatCode>
                <c:ptCount val="5"/>
                <c:pt idx="0">
                  <c:v>8.836514807939054E-2</c:v>
                </c:pt>
                <c:pt idx="1">
                  <c:v>8.836514807939054E-2</c:v>
                </c:pt>
                <c:pt idx="2">
                  <c:v>-3.8327215550769345E-2</c:v>
                </c:pt>
                <c:pt idx="3">
                  <c:v>8.836514807939054E-2</c:v>
                </c:pt>
                <c:pt idx="4">
                  <c:v>0.10578039110457851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D0-47BB-8F71-3175BAB49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HT424'!$I$3:$I$7</c:f>
              <c:numCache>
                <c:formatCode>General</c:formatCode>
                <c:ptCount val="5"/>
                <c:pt idx="0">
                  <c:v>6.2239381079842976E-2</c:v>
                </c:pt>
                <c:pt idx="1">
                  <c:v>6.2239381079842976E-2</c:v>
                </c:pt>
                <c:pt idx="2">
                  <c:v>-0.13461467693318102</c:v>
                </c:pt>
                <c:pt idx="3">
                  <c:v>6.2239381079842976E-2</c:v>
                </c:pt>
                <c:pt idx="4">
                  <c:v>7.3574647170388432E-2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44-49A0-AE33-E1DB3A5C5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HT424'!$J$3:$J$7</c:f>
              <c:numCache>
                <c:formatCode>General</c:formatCode>
                <c:ptCount val="5"/>
                <c:pt idx="0">
                  <c:v>6.7961625859646754E-2</c:v>
                </c:pt>
                <c:pt idx="1">
                  <c:v>6.7961625859646754E-2</c:v>
                </c:pt>
                <c:pt idx="2">
                  <c:v>9.8382439605014874E-2</c:v>
                </c:pt>
                <c:pt idx="3">
                  <c:v>6.7961625859646754E-2</c:v>
                </c:pt>
                <c:pt idx="4">
                  <c:v>8.5251824366423479E-2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97-4B85-BFDC-0F3887081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HT424'!$I$3:$I$7</c:f>
              <c:numCache>
                <c:formatCode>General</c:formatCode>
                <c:ptCount val="5"/>
                <c:pt idx="0">
                  <c:v>6.2239381079842976E-2</c:v>
                </c:pt>
                <c:pt idx="1">
                  <c:v>6.2239381079842976E-2</c:v>
                </c:pt>
                <c:pt idx="2">
                  <c:v>-0.13461467693318102</c:v>
                </c:pt>
                <c:pt idx="3">
                  <c:v>6.2239381079842976E-2</c:v>
                </c:pt>
                <c:pt idx="4">
                  <c:v>7.3574647170388432E-2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A1-4C54-8C64-584790AF3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HT424'!$J$3:$J$7</c:f>
              <c:numCache>
                <c:formatCode>General</c:formatCode>
                <c:ptCount val="5"/>
                <c:pt idx="0">
                  <c:v>6.7961625859646754E-2</c:v>
                </c:pt>
                <c:pt idx="1">
                  <c:v>6.7961625859646754E-2</c:v>
                </c:pt>
                <c:pt idx="2">
                  <c:v>9.8382439605014874E-2</c:v>
                </c:pt>
                <c:pt idx="3">
                  <c:v>6.7961625859646754E-2</c:v>
                </c:pt>
                <c:pt idx="4">
                  <c:v>8.5251824366423479E-2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1F-4F3C-8902-3AD6A7A5E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HT424'!$T$3:$T$7</c:f>
              <c:numCache>
                <c:formatCode>General</c:formatCode>
                <c:ptCount val="5"/>
                <c:pt idx="0">
                  <c:v>5.3553452926468424E-2</c:v>
                </c:pt>
                <c:pt idx="1">
                  <c:v>5.3553452926468424E-2</c:v>
                </c:pt>
                <c:pt idx="2">
                  <c:v>-4.1862151722611311E-2</c:v>
                </c:pt>
                <c:pt idx="3">
                  <c:v>5.3553452926468424E-2</c:v>
                </c:pt>
                <c:pt idx="4">
                  <c:v>6.3306805682503756E-2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A4-4A9A-8967-5D443998E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HT424'!$U$3:$U$7</c:f>
              <c:numCache>
                <c:formatCode>General</c:formatCode>
                <c:ptCount val="5"/>
                <c:pt idx="0">
                  <c:v>7.5487260046031776E-2</c:v>
                </c:pt>
                <c:pt idx="1">
                  <c:v>7.5487260046031776E-2</c:v>
                </c:pt>
                <c:pt idx="2">
                  <c:v>1.4265968176281441E-2</c:v>
                </c:pt>
                <c:pt idx="3">
                  <c:v>7.5487260046031776E-2</c:v>
                </c:pt>
                <c:pt idx="4">
                  <c:v>9.0364493973440513E-2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93-4611-A684-6B7ACD53E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HT424'!$AE$3:$AE$7</c:f>
              <c:numCache>
                <c:formatCode>General</c:formatCode>
                <c:ptCount val="5"/>
                <c:pt idx="0">
                  <c:v>4.3517075281975993E-2</c:v>
                </c:pt>
                <c:pt idx="1">
                  <c:v>4.3517075281975993E-2</c:v>
                </c:pt>
                <c:pt idx="2">
                  <c:v>6.5833911040628232E-2</c:v>
                </c:pt>
                <c:pt idx="3">
                  <c:v>4.3517075281975993E-2</c:v>
                </c:pt>
                <c:pt idx="4">
                  <c:v>5.1442565851535185E-2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85-4DE7-8DBE-F582503D8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HT424'!$AF$3:$AF$7</c:f>
              <c:numCache>
                <c:formatCode>General</c:formatCode>
                <c:ptCount val="5"/>
                <c:pt idx="0">
                  <c:v>6.1340298313980086E-2</c:v>
                </c:pt>
                <c:pt idx="1">
                  <c:v>6.1340298313980086E-2</c:v>
                </c:pt>
                <c:pt idx="2">
                  <c:v>7.9192466896742149E-3</c:v>
                </c:pt>
                <c:pt idx="3">
                  <c:v>6.1340298313980086E-2</c:v>
                </c:pt>
                <c:pt idx="4">
                  <c:v>7.34294106574091E-2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7F-4D8B-B842-D5369C983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HT424'!$AP$3:$AP$7</c:f>
              <c:numCache>
                <c:formatCode>General</c:formatCode>
                <c:ptCount val="5"/>
                <c:pt idx="0">
                  <c:v>5.2934200709105927E-2</c:v>
                </c:pt>
                <c:pt idx="1">
                  <c:v>5.2934200709105927E-2</c:v>
                </c:pt>
                <c:pt idx="2">
                  <c:v>-7.8633200406180645E-2</c:v>
                </c:pt>
                <c:pt idx="3">
                  <c:v>5.2934200709105927E-2</c:v>
                </c:pt>
                <c:pt idx="4">
                  <c:v>6.2574772962842251E-2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8A-46FB-9948-7D4E89F23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HT424'!$AQ$3:$AQ$7</c:f>
              <c:numCache>
                <c:formatCode>General</c:formatCode>
                <c:ptCount val="5"/>
                <c:pt idx="0">
                  <c:v>7.4614381629950766E-2</c:v>
                </c:pt>
                <c:pt idx="1">
                  <c:v>7.4614381629950766E-2</c:v>
                </c:pt>
                <c:pt idx="2">
                  <c:v>5.7290349141366027E-2</c:v>
                </c:pt>
                <c:pt idx="3">
                  <c:v>7.4614381629950766E-2</c:v>
                </c:pt>
                <c:pt idx="4">
                  <c:v>8.9319586311917248E-2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3-425C-8925-1C91B26CC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HT424'!$BA$3:$BA$7</c:f>
              <c:numCache>
                <c:formatCode>General</c:formatCode>
                <c:ptCount val="5"/>
                <c:pt idx="0">
                  <c:v>4.4133213915933625E-2</c:v>
                </c:pt>
                <c:pt idx="1">
                  <c:v>4.4133213915933625E-2</c:v>
                </c:pt>
                <c:pt idx="2">
                  <c:v>9.4513506929011684E-2</c:v>
                </c:pt>
                <c:pt idx="3">
                  <c:v>4.4133213915933625E-2</c:v>
                </c:pt>
                <c:pt idx="4">
                  <c:v>5.2170917930475756E-2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7B-4F2C-92A3-C6AB8DCD4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HT424'!$AT$3:$AT$7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HT424'!$BB$3:$BB$7</c:f>
              <c:numCache>
                <c:formatCode>General</c:formatCode>
                <c:ptCount val="5"/>
                <c:pt idx="0">
                  <c:v>6.2208787920986906E-2</c:v>
                </c:pt>
                <c:pt idx="1">
                  <c:v>6.2208787920986906E-2</c:v>
                </c:pt>
                <c:pt idx="2">
                  <c:v>-2.6982239894597665E-2</c:v>
                </c:pt>
                <c:pt idx="3">
                  <c:v>6.2208787920986906E-2</c:v>
                </c:pt>
                <c:pt idx="4">
                  <c:v>7.4469064551463612E-2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8E-4736-A978-CBB6F6980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HT425'!$I$3:$I$7</c:f>
              <c:numCache>
                <c:formatCode>General</c:formatCode>
                <c:ptCount val="5"/>
                <c:pt idx="0">
                  <c:v>9.7425151727521184E-2</c:v>
                </c:pt>
                <c:pt idx="1">
                  <c:v>9.7425151727521184E-2</c:v>
                </c:pt>
                <c:pt idx="2">
                  <c:v>-0.21071635188888183</c:v>
                </c:pt>
                <c:pt idx="3">
                  <c:v>9.7425151727521184E-2</c:v>
                </c:pt>
                <c:pt idx="4">
                  <c:v>0.11516858039893629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80-41C7-A5AB-384224950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HT425'!$J$3:$J$7</c:f>
              <c:numCache>
                <c:formatCode>General</c:formatCode>
                <c:ptCount val="5"/>
                <c:pt idx="0">
                  <c:v>0.10638235143327067</c:v>
                </c:pt>
                <c:pt idx="1">
                  <c:v>0.10638235143327067</c:v>
                </c:pt>
                <c:pt idx="2">
                  <c:v>0.15400095469372307</c:v>
                </c:pt>
                <c:pt idx="3">
                  <c:v>0.10638235143327067</c:v>
                </c:pt>
                <c:pt idx="4">
                  <c:v>0.13344721267860893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98-4154-9A41-06401D64B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HT425'!$I$3:$I$7</c:f>
              <c:numCache>
                <c:formatCode>General</c:formatCode>
                <c:ptCount val="5"/>
                <c:pt idx="0">
                  <c:v>9.7425151727521184E-2</c:v>
                </c:pt>
                <c:pt idx="1">
                  <c:v>9.7425151727521184E-2</c:v>
                </c:pt>
                <c:pt idx="2">
                  <c:v>-0.21071635188888183</c:v>
                </c:pt>
                <c:pt idx="3">
                  <c:v>9.7425151727521184E-2</c:v>
                </c:pt>
                <c:pt idx="4">
                  <c:v>0.11516858039893629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30-4FD2-8DD3-D6B2FBE0F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HT425'!$J$3:$J$7</c:f>
              <c:numCache>
                <c:formatCode>General</c:formatCode>
                <c:ptCount val="5"/>
                <c:pt idx="0">
                  <c:v>0.10638235143327067</c:v>
                </c:pt>
                <c:pt idx="1">
                  <c:v>0.10638235143327067</c:v>
                </c:pt>
                <c:pt idx="2">
                  <c:v>0.15400095469372307</c:v>
                </c:pt>
                <c:pt idx="3">
                  <c:v>0.10638235143327067</c:v>
                </c:pt>
                <c:pt idx="4">
                  <c:v>0.13344721267860893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AD-4CB5-86C2-C7E8BDED0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HT425'!$T$3:$T$7</c:f>
              <c:numCache>
                <c:formatCode>General</c:formatCode>
                <c:ptCount val="5"/>
                <c:pt idx="0">
                  <c:v>8.3828810415076394E-2</c:v>
                </c:pt>
                <c:pt idx="1">
                  <c:v>8.3828810415076394E-2</c:v>
                </c:pt>
                <c:pt idx="2">
                  <c:v>-6.5528069406473738E-2</c:v>
                </c:pt>
                <c:pt idx="3">
                  <c:v>8.3828810415076394E-2</c:v>
                </c:pt>
                <c:pt idx="4">
                  <c:v>9.9096023160810467E-2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7B-4698-88EE-B388CF3A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HT425'!$U$3:$U$7</c:f>
              <c:numCache>
                <c:formatCode>General</c:formatCode>
                <c:ptCount val="5"/>
                <c:pt idx="0">
                  <c:v>0.11816245013820191</c:v>
                </c:pt>
                <c:pt idx="1">
                  <c:v>0.11816245013820191</c:v>
                </c:pt>
                <c:pt idx="2">
                  <c:v>2.2330943688711156E-2</c:v>
                </c:pt>
                <c:pt idx="3">
                  <c:v>0.11816245013820191</c:v>
                </c:pt>
                <c:pt idx="4">
                  <c:v>0.14145022626187925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F7-48B3-A790-1E2EA147B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HT425'!$AE$3:$AE$7</c:f>
              <c:numCache>
                <c:formatCode>General</c:formatCode>
                <c:ptCount val="5"/>
                <c:pt idx="0">
                  <c:v>6.8118570405539272E-2</c:v>
                </c:pt>
                <c:pt idx="1">
                  <c:v>6.8118570405539272E-2</c:v>
                </c:pt>
                <c:pt idx="2">
                  <c:v>0.10305177623346506</c:v>
                </c:pt>
                <c:pt idx="3">
                  <c:v>6.8118570405539272E-2</c:v>
                </c:pt>
                <c:pt idx="4">
                  <c:v>8.0524576182875174E-2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32-42B7-8A78-FBE83F09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HT425'!$AF$3:$AF$7</c:f>
              <c:numCache>
                <c:formatCode>General</c:formatCode>
                <c:ptCount val="5"/>
                <c:pt idx="0">
                  <c:v>9.601779077116103E-2</c:v>
                </c:pt>
                <c:pt idx="1">
                  <c:v>9.601779077116103E-2</c:v>
                </c:pt>
                <c:pt idx="2">
                  <c:v>1.2396232046707345E-2</c:v>
                </c:pt>
                <c:pt idx="3">
                  <c:v>9.601779077116103E-2</c:v>
                </c:pt>
                <c:pt idx="4">
                  <c:v>0.11494123737161349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6-471F-AE1C-5E9EB1F3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HT425'!$AP$3:$AP$7</c:f>
              <c:numCache>
                <c:formatCode>General</c:formatCode>
                <c:ptCount val="5"/>
                <c:pt idx="0">
                  <c:v>8.2859476527312459E-2</c:v>
                </c:pt>
                <c:pt idx="1">
                  <c:v>8.2859476527312459E-2</c:v>
                </c:pt>
                <c:pt idx="2">
                  <c:v>-0.12308688401906032</c:v>
                </c:pt>
                <c:pt idx="3">
                  <c:v>8.2859476527312459E-2</c:v>
                </c:pt>
                <c:pt idx="4">
                  <c:v>9.7950150603192301E-2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F-4B33-8A92-88A32B60A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HT425'!$AQ$3:$AQ$7</c:f>
              <c:numCache>
                <c:formatCode>General</c:formatCode>
                <c:ptCount val="5"/>
                <c:pt idx="0">
                  <c:v>0.11679610762883026</c:v>
                </c:pt>
                <c:pt idx="1">
                  <c:v>0.11679610762883026</c:v>
                </c:pt>
                <c:pt idx="2">
                  <c:v>8.9678285046891237E-2</c:v>
                </c:pt>
                <c:pt idx="3">
                  <c:v>0.11679610762883026</c:v>
                </c:pt>
                <c:pt idx="4">
                  <c:v>0.13981460126531059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9E-43E8-9986-DDA573510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HT425'!$BA$3:$BA$7</c:f>
              <c:numCache>
                <c:formatCode>General</c:formatCode>
                <c:ptCount val="5"/>
                <c:pt idx="0">
                  <c:v>6.9083030508725468E-2</c:v>
                </c:pt>
                <c:pt idx="1">
                  <c:v>6.9083030508725468E-2</c:v>
                </c:pt>
                <c:pt idx="2">
                  <c:v>0.14794479946782785</c:v>
                </c:pt>
                <c:pt idx="3">
                  <c:v>6.9083030508725468E-2</c:v>
                </c:pt>
                <c:pt idx="4">
                  <c:v>8.1664687324257038E-2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23-48B2-A929-6428A2F1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HT425'!$AT$3:$AT$7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HT425'!$BB$3:$BB$7</c:f>
              <c:numCache>
                <c:formatCode>General</c:formatCode>
                <c:ptCount val="5"/>
                <c:pt idx="0">
                  <c:v>9.7377263347340259E-2</c:v>
                </c:pt>
                <c:pt idx="1">
                  <c:v>9.7377263347340259E-2</c:v>
                </c:pt>
                <c:pt idx="2">
                  <c:v>-4.2236101485445307E-2</c:v>
                </c:pt>
                <c:pt idx="3">
                  <c:v>9.7377263347340259E-2</c:v>
                </c:pt>
                <c:pt idx="4">
                  <c:v>0.11656863848992528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87-4326-902E-B4E805083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HT426'!$I$3:$I$7</c:f>
              <c:numCache>
                <c:formatCode>General</c:formatCode>
                <c:ptCount val="5"/>
                <c:pt idx="0">
                  <c:v>8.8718132081991349E-2</c:v>
                </c:pt>
                <c:pt idx="1">
                  <c:v>8.8718132081991349E-2</c:v>
                </c:pt>
                <c:pt idx="2">
                  <c:v>-0.19188434205365781</c:v>
                </c:pt>
                <c:pt idx="3">
                  <c:v>8.8718132081991349E-2</c:v>
                </c:pt>
                <c:pt idx="4">
                  <c:v>0.10487580615840052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46-4073-8805-25F532851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HT426'!$J$3:$J$7</c:f>
              <c:numCache>
                <c:formatCode>General</c:formatCode>
                <c:ptCount val="5"/>
                <c:pt idx="0">
                  <c:v>9.6874814545283586E-2</c:v>
                </c:pt>
                <c:pt idx="1">
                  <c:v>9.6874814545283586E-2</c:v>
                </c:pt>
                <c:pt idx="2">
                  <c:v>0.14023767781734933</c:v>
                </c:pt>
                <c:pt idx="3">
                  <c:v>9.6874814545283586E-2</c:v>
                </c:pt>
                <c:pt idx="4">
                  <c:v>0.12152085196137313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2A-4490-BD73-BE4EB9937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HT426'!$I$3:$I$7</c:f>
              <c:numCache>
                <c:formatCode>General</c:formatCode>
                <c:ptCount val="5"/>
                <c:pt idx="0">
                  <c:v>8.8718132081991349E-2</c:v>
                </c:pt>
                <c:pt idx="1">
                  <c:v>8.8718132081991349E-2</c:v>
                </c:pt>
                <c:pt idx="2">
                  <c:v>-0.19188434205365781</c:v>
                </c:pt>
                <c:pt idx="3">
                  <c:v>8.8718132081991349E-2</c:v>
                </c:pt>
                <c:pt idx="4">
                  <c:v>0.10487580615840052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49-473C-9C64-B7972DDE0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HT426'!$J$3:$J$7</c:f>
              <c:numCache>
                <c:formatCode>General</c:formatCode>
                <c:ptCount val="5"/>
                <c:pt idx="0">
                  <c:v>9.6874814545283586E-2</c:v>
                </c:pt>
                <c:pt idx="1">
                  <c:v>9.6874814545283586E-2</c:v>
                </c:pt>
                <c:pt idx="2">
                  <c:v>0.14023767781734933</c:v>
                </c:pt>
                <c:pt idx="3">
                  <c:v>9.6874814545283586E-2</c:v>
                </c:pt>
                <c:pt idx="4">
                  <c:v>0.12152085196137313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51-4C19-B880-FE7BB7728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HT426'!$T$3:$T$7</c:f>
              <c:numCache>
                <c:formatCode>General</c:formatCode>
                <c:ptCount val="5"/>
                <c:pt idx="0">
                  <c:v>7.6336914470312059E-2</c:v>
                </c:pt>
                <c:pt idx="1">
                  <c:v>7.6336914470312059E-2</c:v>
                </c:pt>
                <c:pt idx="2">
                  <c:v>-5.9671735825885266E-2</c:v>
                </c:pt>
                <c:pt idx="3">
                  <c:v>7.6336914470312059E-2</c:v>
                </c:pt>
                <c:pt idx="4">
                  <c:v>9.0239675439965E-2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E9-4494-B020-D8BC5E741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HT426'!$U$3:$U$7</c:f>
              <c:numCache>
                <c:formatCode>General</c:formatCode>
                <c:ptCount val="5"/>
                <c:pt idx="0">
                  <c:v>0.10760210964630582</c:v>
                </c:pt>
                <c:pt idx="1">
                  <c:v>0.10760210964630582</c:v>
                </c:pt>
                <c:pt idx="2">
                  <c:v>2.0335196574612458E-2</c:v>
                </c:pt>
                <c:pt idx="3">
                  <c:v>0.10760210964630582</c:v>
                </c:pt>
                <c:pt idx="4">
                  <c:v>0.12880862522674419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A0-405E-BF51-C5E8E85D4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HT426'!$AE$3:$AE$7</c:f>
              <c:numCache>
                <c:formatCode>General</c:formatCode>
                <c:ptCount val="5"/>
                <c:pt idx="0">
                  <c:v>6.2030720192021029E-2</c:v>
                </c:pt>
                <c:pt idx="1">
                  <c:v>6.2030720192021029E-2</c:v>
                </c:pt>
                <c:pt idx="2">
                  <c:v>9.3841897426388418E-2</c:v>
                </c:pt>
                <c:pt idx="3">
                  <c:v>6.2030720192021029E-2</c:v>
                </c:pt>
                <c:pt idx="4">
                  <c:v>7.3327984190561149E-2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26-4369-BEC0-8A06F670C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HT426'!$AF$3:$AF$7</c:f>
              <c:numCache>
                <c:formatCode>General</c:formatCode>
                <c:ptCount val="5"/>
                <c:pt idx="0">
                  <c:v>8.7436548907632014E-2</c:v>
                </c:pt>
                <c:pt idx="1">
                  <c:v>8.7436548907632014E-2</c:v>
                </c:pt>
                <c:pt idx="2">
                  <c:v>1.1288363759644288E-2</c:v>
                </c:pt>
                <c:pt idx="3">
                  <c:v>8.7436548907632014E-2</c:v>
                </c:pt>
                <c:pt idx="4">
                  <c:v>0.104668781089737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7B-43EA-A71C-7C24FB2C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HT426'!$AP$3:$AP$7</c:f>
              <c:numCache>
                <c:formatCode>General</c:formatCode>
                <c:ptCount val="5"/>
                <c:pt idx="0">
                  <c:v>7.5454211283698516E-2</c:v>
                </c:pt>
                <c:pt idx="1">
                  <c:v>7.5454211283698516E-2</c:v>
                </c:pt>
                <c:pt idx="2">
                  <c:v>-0.11208644010640009</c:v>
                </c:pt>
                <c:pt idx="3">
                  <c:v>7.5454211283698516E-2</c:v>
                </c:pt>
                <c:pt idx="4">
                  <c:v>8.9196211086938176E-2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80-431A-963A-4FD21733B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HT426'!$AQ$3:$AQ$7</c:f>
              <c:numCache>
                <c:formatCode>General</c:formatCode>
                <c:ptCount val="5"/>
                <c:pt idx="0">
                  <c:v>0.10635787904397942</c:v>
                </c:pt>
                <c:pt idx="1">
                  <c:v>0.10635787904397942</c:v>
                </c:pt>
                <c:pt idx="2">
                  <c:v>8.1663613518695582E-2</c:v>
                </c:pt>
                <c:pt idx="3">
                  <c:v>0.10635787904397942</c:v>
                </c:pt>
                <c:pt idx="4">
                  <c:v>0.12731917828302244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FD-4541-A7BF-14E31DFB7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HT426'!$BA$3:$BA$7</c:f>
              <c:numCache>
                <c:formatCode>General</c:formatCode>
                <c:ptCount val="5"/>
                <c:pt idx="0">
                  <c:v>6.2908985170879797E-2</c:v>
                </c:pt>
                <c:pt idx="1">
                  <c:v>6.2908985170879797E-2</c:v>
                </c:pt>
                <c:pt idx="2">
                  <c:v>0.13472276950350129</c:v>
                </c:pt>
                <c:pt idx="3">
                  <c:v>6.2908985170879797E-2</c:v>
                </c:pt>
                <c:pt idx="4">
                  <c:v>7.4366202033035317E-2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3D-44A3-A805-D794A3B46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HT426'!$AT$3:$AT$7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HT426'!$BB$3:$BB$7</c:f>
              <c:numCache>
                <c:formatCode>General</c:formatCode>
                <c:ptCount val="5"/>
                <c:pt idx="0">
                  <c:v>8.8674523552132803E-2</c:v>
                </c:pt>
                <c:pt idx="1">
                  <c:v>8.8674523552132803E-2</c:v>
                </c:pt>
                <c:pt idx="2">
                  <c:v>-3.8461403074783455E-2</c:v>
                </c:pt>
                <c:pt idx="3">
                  <c:v>8.8674523552132803E-2</c:v>
                </c:pt>
                <c:pt idx="4">
                  <c:v>0.10615073913449907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58-4171-B913-D46DA2450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HT427'!$I$3:$I$7</c:f>
              <c:numCache>
                <c:formatCode>General</c:formatCode>
                <c:ptCount val="5"/>
                <c:pt idx="0">
                  <c:v>8.8367580780078253E-2</c:v>
                </c:pt>
                <c:pt idx="1">
                  <c:v>8.8367580780078253E-2</c:v>
                </c:pt>
                <c:pt idx="2">
                  <c:v>-0.1911261508660719</c:v>
                </c:pt>
                <c:pt idx="3">
                  <c:v>8.8367580780078253E-2</c:v>
                </c:pt>
                <c:pt idx="4">
                  <c:v>0.10446141115790572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89-437C-9661-DE41809F1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HT427'!$J$3:$J$7</c:f>
              <c:numCache>
                <c:formatCode>General</c:formatCode>
                <c:ptCount val="5"/>
                <c:pt idx="0">
                  <c:v>9.6492033804024796E-2</c:v>
                </c:pt>
                <c:pt idx="1">
                  <c:v>9.6492033804024796E-2</c:v>
                </c:pt>
                <c:pt idx="2">
                  <c:v>0.13968355771379812</c:v>
                </c:pt>
                <c:pt idx="3">
                  <c:v>9.6492033804024796E-2</c:v>
                </c:pt>
                <c:pt idx="4">
                  <c:v>0.12104068751398284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B4-435A-87EE-0CABD5B80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HT427'!$I$3:$I$7</c:f>
              <c:numCache>
                <c:formatCode>General</c:formatCode>
                <c:ptCount val="5"/>
                <c:pt idx="0">
                  <c:v>8.8367580780078253E-2</c:v>
                </c:pt>
                <c:pt idx="1">
                  <c:v>8.8367580780078253E-2</c:v>
                </c:pt>
                <c:pt idx="2">
                  <c:v>-0.1911261508660719</c:v>
                </c:pt>
                <c:pt idx="3">
                  <c:v>8.8367580780078253E-2</c:v>
                </c:pt>
                <c:pt idx="4">
                  <c:v>0.10446141115790572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7C-4659-986A-860E2391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HT427'!$J$3:$J$7</c:f>
              <c:numCache>
                <c:formatCode>General</c:formatCode>
                <c:ptCount val="5"/>
                <c:pt idx="0">
                  <c:v>9.6492033804024796E-2</c:v>
                </c:pt>
                <c:pt idx="1">
                  <c:v>9.6492033804024796E-2</c:v>
                </c:pt>
                <c:pt idx="2">
                  <c:v>0.13968355771379812</c:v>
                </c:pt>
                <c:pt idx="3">
                  <c:v>9.6492033804024796E-2</c:v>
                </c:pt>
                <c:pt idx="4">
                  <c:v>0.12104068751398284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F2-4D1D-A19E-C2F15A662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HT427'!$T$3:$T$7</c:f>
              <c:numCache>
                <c:formatCode>General</c:formatCode>
                <c:ptCount val="5"/>
                <c:pt idx="0">
                  <c:v>7.6035284982364018E-2</c:v>
                </c:pt>
                <c:pt idx="1">
                  <c:v>7.6035284982364018E-2</c:v>
                </c:pt>
                <c:pt idx="2">
                  <c:v>-5.9435955335580909E-2</c:v>
                </c:pt>
                <c:pt idx="3">
                  <c:v>7.6035284982364018E-2</c:v>
                </c:pt>
                <c:pt idx="4">
                  <c:v>8.9883112074987254E-2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7E-4A5A-BDF1-35BF5CA04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HT427'!$U$3:$U$7</c:f>
              <c:numCache>
                <c:formatCode>General</c:formatCode>
                <c:ptCount val="5"/>
                <c:pt idx="0">
                  <c:v>0.10717694222291768</c:v>
                </c:pt>
                <c:pt idx="1">
                  <c:v>0.10717694222291768</c:v>
                </c:pt>
                <c:pt idx="2">
                  <c:v>2.0254846262149823E-2</c:v>
                </c:pt>
                <c:pt idx="3">
                  <c:v>0.10717694222291768</c:v>
                </c:pt>
                <c:pt idx="4">
                  <c:v>0.12829966465452269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06-412C-B348-A63881A55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HT427'!$AE$3:$AE$7</c:f>
              <c:numCache>
                <c:formatCode>General</c:formatCode>
                <c:ptCount val="5"/>
                <c:pt idx="0">
                  <c:v>6.1785618664163967E-2</c:v>
                </c:pt>
                <c:pt idx="1">
                  <c:v>6.1785618664163967E-2</c:v>
                </c:pt>
                <c:pt idx="2">
                  <c:v>9.3471100628205003E-2</c:v>
                </c:pt>
                <c:pt idx="3">
                  <c:v>6.1785618664163967E-2</c:v>
                </c:pt>
                <c:pt idx="4">
                  <c:v>7.3038243866667629E-2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07-40DB-8195-4331F163E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HT427'!$AF$3:$AF$7</c:f>
              <c:numCache>
                <c:formatCode>General</c:formatCode>
                <c:ptCount val="5"/>
                <c:pt idx="0">
                  <c:v>8.7091061515877283E-2</c:v>
                </c:pt>
                <c:pt idx="1">
                  <c:v>8.7091061515877283E-2</c:v>
                </c:pt>
                <c:pt idx="2">
                  <c:v>1.1243760131056223E-2</c:v>
                </c:pt>
                <c:pt idx="3">
                  <c:v>8.7091061515877283E-2</c:v>
                </c:pt>
                <c:pt idx="4">
                  <c:v>0.10425520410587134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E-4887-A759-276570851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HT427'!$AP$3:$AP$7</c:f>
              <c:numCache>
                <c:formatCode>General</c:formatCode>
                <c:ptCount val="5"/>
                <c:pt idx="0">
                  <c:v>7.5156069614350896E-2</c:v>
                </c:pt>
                <c:pt idx="1">
                  <c:v>7.5156069614350896E-2</c:v>
                </c:pt>
                <c:pt idx="2">
                  <c:v>-0.11164355378109073</c:v>
                </c:pt>
                <c:pt idx="3">
                  <c:v>7.5156069614350896E-2</c:v>
                </c:pt>
                <c:pt idx="4">
                  <c:v>8.8843770754973739E-2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FB-48A8-B7B2-0B23875B6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HT427'!$AQ$3:$AQ$7</c:f>
              <c:numCache>
                <c:formatCode>General</c:formatCode>
                <c:ptCount val="5"/>
                <c:pt idx="0">
                  <c:v>0.10593762793980688</c:v>
                </c:pt>
                <c:pt idx="1">
                  <c:v>0.10593762793980688</c:v>
                </c:pt>
                <c:pt idx="2">
                  <c:v>8.1340936684027212E-2</c:v>
                </c:pt>
                <c:pt idx="3">
                  <c:v>0.10593762793980688</c:v>
                </c:pt>
                <c:pt idx="4">
                  <c:v>0.12681610295154033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D8-485A-A7B6-C54B3CC96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HT427'!$AT$3:$AT$7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HT427'!$BA$3:$BA$7</c:f>
              <c:numCache>
                <c:formatCode>General</c:formatCode>
                <c:ptCount val="5"/>
                <c:pt idx="0">
                  <c:v>6.2660413361079928E-2</c:v>
                </c:pt>
                <c:pt idx="1">
                  <c:v>6.2660413361079928E-2</c:v>
                </c:pt>
                <c:pt idx="2">
                  <c:v>0.13419044041655492</c:v>
                </c:pt>
                <c:pt idx="3">
                  <c:v>6.2660413361079928E-2</c:v>
                </c:pt>
                <c:pt idx="4">
                  <c:v>7.4072359406626986E-2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6A-4C7C-8490-0765D7662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HT416'!$AT$3:$AT$7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HT416'!$BB$3:$BB$7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C4-4DFD-9208-AFD41E43B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HT429'!$I$3:$I$7</c:f>
              <c:numCache>
                <c:formatCode>General</c:formatCode>
                <c:ptCount val="5"/>
                <c:pt idx="0">
                  <c:v>8.7503393654943779E-2</c:v>
                </c:pt>
                <c:pt idx="1">
                  <c:v>8.7503393654943779E-2</c:v>
                </c:pt>
                <c:pt idx="2">
                  <c:v>-0.18925704052722461</c:v>
                </c:pt>
                <c:pt idx="3">
                  <c:v>8.7503393654943779E-2</c:v>
                </c:pt>
                <c:pt idx="4">
                  <c:v>0.10343983507990143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F9-4373-9B27-46A834699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HT429'!$J$3:$J$7</c:f>
              <c:numCache>
                <c:formatCode>General</c:formatCode>
                <c:ptCount val="5"/>
                <c:pt idx="0">
                  <c:v>9.5548393924383815E-2</c:v>
                </c:pt>
                <c:pt idx="1">
                  <c:v>9.5548393924383815E-2</c:v>
                </c:pt>
                <c:pt idx="2">
                  <c:v>0.13831752810086054</c:v>
                </c:pt>
                <c:pt idx="3">
                  <c:v>9.5548393924383815E-2</c:v>
                </c:pt>
                <c:pt idx="4">
                  <c:v>0.11985697508411183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DA-46B4-B2E4-CB615A2EC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HT429'!$I$3:$I$7</c:f>
              <c:numCache>
                <c:formatCode>General</c:formatCode>
                <c:ptCount val="5"/>
                <c:pt idx="0">
                  <c:v>8.7503393654943779E-2</c:v>
                </c:pt>
                <c:pt idx="1">
                  <c:v>8.7503393654943779E-2</c:v>
                </c:pt>
                <c:pt idx="2">
                  <c:v>-0.18925704052722461</c:v>
                </c:pt>
                <c:pt idx="3">
                  <c:v>8.7503393654943779E-2</c:v>
                </c:pt>
                <c:pt idx="4">
                  <c:v>0.10343983507990143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0-48FA-85DF-959FED43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HT429'!$J$3:$J$7</c:f>
              <c:numCache>
                <c:formatCode>General</c:formatCode>
                <c:ptCount val="5"/>
                <c:pt idx="0">
                  <c:v>9.5548393924383815E-2</c:v>
                </c:pt>
                <c:pt idx="1">
                  <c:v>9.5548393924383815E-2</c:v>
                </c:pt>
                <c:pt idx="2">
                  <c:v>0.13831752810086054</c:v>
                </c:pt>
                <c:pt idx="3">
                  <c:v>9.5548393924383815E-2</c:v>
                </c:pt>
                <c:pt idx="4">
                  <c:v>0.11985697508411183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33-42E7-A50A-844BF5C61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HT429'!$T$3:$T$7</c:f>
              <c:numCache>
                <c:formatCode>General</c:formatCode>
                <c:ptCount val="5"/>
                <c:pt idx="0">
                  <c:v>7.5291701037238049E-2</c:v>
                </c:pt>
                <c:pt idx="1">
                  <c:v>7.5291701037238049E-2</c:v>
                </c:pt>
                <c:pt idx="2">
                  <c:v>-5.8854703852654087E-2</c:v>
                </c:pt>
                <c:pt idx="3">
                  <c:v>7.5291701037238049E-2</c:v>
                </c:pt>
                <c:pt idx="4">
                  <c:v>8.9004103873828788E-2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AA-48EA-BC83-D6EFA90D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HT429'!$U$3:$U$7</c:f>
              <c:numCache>
                <c:formatCode>General</c:formatCode>
                <c:ptCount val="5"/>
                <c:pt idx="0">
                  <c:v>0.10612880972044673</c:v>
                </c:pt>
                <c:pt idx="1">
                  <c:v>0.10612880972044673</c:v>
                </c:pt>
                <c:pt idx="2">
                  <c:v>2.0056764825419193E-2</c:v>
                </c:pt>
                <c:pt idx="3">
                  <c:v>0.10612880972044673</c:v>
                </c:pt>
                <c:pt idx="4">
                  <c:v>0.12704496335598378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48-4A07-BAB9-8E7EA35D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HT429'!$AE$3:$AE$7</c:f>
              <c:numCache>
                <c:formatCode>General</c:formatCode>
                <c:ptCount val="5"/>
                <c:pt idx="0">
                  <c:v>6.1181388745265075E-2</c:v>
                </c:pt>
                <c:pt idx="1">
                  <c:v>6.1181388745265075E-2</c:v>
                </c:pt>
                <c:pt idx="2">
                  <c:v>9.2557003840424049E-2</c:v>
                </c:pt>
                <c:pt idx="3">
                  <c:v>6.1181388745265075E-2</c:v>
                </c:pt>
                <c:pt idx="4">
                  <c:v>7.2323969361981461E-2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2-4105-A861-1D69ED1F2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HT429'!$AF$3:$AF$7</c:f>
              <c:numCache>
                <c:formatCode>General</c:formatCode>
                <c:ptCount val="5"/>
                <c:pt idx="0">
                  <c:v>8.6239358058433732E-2</c:v>
                </c:pt>
                <c:pt idx="1">
                  <c:v>8.6239358058433732E-2</c:v>
                </c:pt>
                <c:pt idx="2">
                  <c:v>1.1133802240870894E-2</c:v>
                </c:pt>
                <c:pt idx="3">
                  <c:v>8.6239358058433732E-2</c:v>
                </c:pt>
                <c:pt idx="4">
                  <c:v>0.10323564462125918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3-4F4F-A108-6C1F8774A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HT429'!$AP$3:$AP$7</c:f>
              <c:numCache>
                <c:formatCode>General</c:formatCode>
                <c:ptCount val="5"/>
                <c:pt idx="0">
                  <c:v>7.4421083919788647E-2</c:v>
                </c:pt>
                <c:pt idx="1">
                  <c:v>7.4421083919788647E-2</c:v>
                </c:pt>
                <c:pt idx="2">
                  <c:v>-0.11055174023442378</c:v>
                </c:pt>
                <c:pt idx="3">
                  <c:v>7.4421083919788647E-2</c:v>
                </c:pt>
                <c:pt idx="4">
                  <c:v>8.7974926749546864E-2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F1-4B53-A16E-CA0BA1FA0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HT429'!$AQ$3:$AQ$7</c:f>
              <c:numCache>
                <c:formatCode>General</c:formatCode>
                <c:ptCount val="5"/>
                <c:pt idx="0">
                  <c:v>0.10490161526044307</c:v>
                </c:pt>
                <c:pt idx="1">
                  <c:v>0.10490161526044307</c:v>
                </c:pt>
                <c:pt idx="2">
                  <c:v>8.0545466336098881E-2</c:v>
                </c:pt>
                <c:pt idx="3">
                  <c:v>0.10490161526044307</c:v>
                </c:pt>
                <c:pt idx="4">
                  <c:v>0.12557591008371483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D0-456D-B0FF-98AE33F0B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HT429'!$BA$3:$BA$7</c:f>
              <c:numCache>
                <c:formatCode>General</c:formatCode>
                <c:ptCount val="5"/>
                <c:pt idx="0">
                  <c:v>6.2047628423388658E-2</c:v>
                </c:pt>
                <c:pt idx="1">
                  <c:v>6.2047628423388658E-2</c:v>
                </c:pt>
                <c:pt idx="2">
                  <c:v>0.13287813051850855</c:v>
                </c:pt>
                <c:pt idx="3">
                  <c:v>6.2047628423388658E-2</c:v>
                </c:pt>
                <c:pt idx="4">
                  <c:v>7.3347971811510537E-2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FC-461A-87F4-1E01F9332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HT429'!$AT$3:$AT$7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HT429'!$BB$3:$BB$7</c:f>
              <c:numCache>
                <c:formatCode>General</c:formatCode>
                <c:ptCount val="5"/>
                <c:pt idx="0">
                  <c:v>8.7460382217874763E-2</c:v>
                </c:pt>
                <c:pt idx="1">
                  <c:v>8.7460382217874763E-2</c:v>
                </c:pt>
                <c:pt idx="2">
                  <c:v>-3.793478531157439E-2</c:v>
                </c:pt>
                <c:pt idx="3">
                  <c:v>8.7460382217874763E-2</c:v>
                </c:pt>
                <c:pt idx="4">
                  <c:v>0.10469731153339708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E7-412D-BD6B-5E933C5A5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HT431'!$I$3:$I$7</c:f>
              <c:numCache>
                <c:formatCode>General</c:formatCode>
                <c:ptCount val="5"/>
                <c:pt idx="0">
                  <c:v>5.7997576900555362E-2</c:v>
                </c:pt>
                <c:pt idx="1">
                  <c:v>5.7997576900555362E-2</c:v>
                </c:pt>
                <c:pt idx="2">
                  <c:v>-0.12544027498217017</c:v>
                </c:pt>
                <c:pt idx="3">
                  <c:v>5.7997576900555362E-2</c:v>
                </c:pt>
                <c:pt idx="4">
                  <c:v>6.8560309938200892E-2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20-4E9B-B675-F0DA5D9CA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HT431'!$J$3:$J$7</c:f>
              <c:numCache>
                <c:formatCode>General</c:formatCode>
                <c:ptCount val="5"/>
                <c:pt idx="0">
                  <c:v>6.3329833197171295E-2</c:v>
                </c:pt>
                <c:pt idx="1">
                  <c:v>6.3329833197171295E-2</c:v>
                </c:pt>
                <c:pt idx="2">
                  <c:v>9.1677375443954032E-2</c:v>
                </c:pt>
                <c:pt idx="3">
                  <c:v>6.3329833197171295E-2</c:v>
                </c:pt>
                <c:pt idx="4">
                  <c:v>7.9441651793764251E-2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D7-4BAB-9594-AF5E0D015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HT431'!$I$3:$I$7</c:f>
              <c:numCache>
                <c:formatCode>General</c:formatCode>
                <c:ptCount val="5"/>
                <c:pt idx="0">
                  <c:v>5.7997576900555362E-2</c:v>
                </c:pt>
                <c:pt idx="1">
                  <c:v>5.7997576900555362E-2</c:v>
                </c:pt>
                <c:pt idx="2">
                  <c:v>-0.12544027498217017</c:v>
                </c:pt>
                <c:pt idx="3">
                  <c:v>5.7997576900555362E-2</c:v>
                </c:pt>
                <c:pt idx="4">
                  <c:v>6.8560309938200892E-2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8-4CD1-8981-50A3EB22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HT431'!$J$3:$J$7</c:f>
              <c:numCache>
                <c:formatCode>General</c:formatCode>
                <c:ptCount val="5"/>
                <c:pt idx="0">
                  <c:v>6.3329833197171295E-2</c:v>
                </c:pt>
                <c:pt idx="1">
                  <c:v>6.3329833197171295E-2</c:v>
                </c:pt>
                <c:pt idx="2">
                  <c:v>9.1677375443954032E-2</c:v>
                </c:pt>
                <c:pt idx="3">
                  <c:v>6.3329833197171295E-2</c:v>
                </c:pt>
                <c:pt idx="4">
                  <c:v>7.9441651793764251E-2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E1-436B-9BD7-125B4C034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HT431'!$T$3:$T$7</c:f>
              <c:numCache>
                <c:formatCode>General</c:formatCode>
                <c:ptCount val="5"/>
                <c:pt idx="0">
                  <c:v>4.9903621316681641E-2</c:v>
                </c:pt>
                <c:pt idx="1">
                  <c:v>4.9903621316681641E-2</c:v>
                </c:pt>
                <c:pt idx="2">
                  <c:v>-3.9009118047627453E-2</c:v>
                </c:pt>
                <c:pt idx="3">
                  <c:v>4.9903621316681641E-2</c:v>
                </c:pt>
                <c:pt idx="4">
                  <c:v>5.8992253251834395E-2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DB-438B-AC08-C9376DAB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HT431'!$U$3:$U$7</c:f>
              <c:numCache>
                <c:formatCode>General</c:formatCode>
                <c:ptCount val="5"/>
                <c:pt idx="0">
                  <c:v>7.0342572396656519E-2</c:v>
                </c:pt>
                <c:pt idx="1">
                  <c:v>7.0342572396656519E-2</c:v>
                </c:pt>
                <c:pt idx="2">
                  <c:v>1.3293698812707503E-2</c:v>
                </c:pt>
                <c:pt idx="3">
                  <c:v>7.0342572396656519E-2</c:v>
                </c:pt>
                <c:pt idx="4">
                  <c:v>8.4205877330000123E-2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16-42CD-9AD5-4E15FCC6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HT431'!$AE$3:$AE$7</c:f>
              <c:numCache>
                <c:formatCode>General</c:formatCode>
                <c:ptCount val="5"/>
                <c:pt idx="0">
                  <c:v>4.0551253504849713E-2</c:v>
                </c:pt>
                <c:pt idx="1">
                  <c:v>4.0551253504849713E-2</c:v>
                </c:pt>
                <c:pt idx="2">
                  <c:v>6.1347128650669255E-2</c:v>
                </c:pt>
                <c:pt idx="3">
                  <c:v>4.0551253504849713E-2</c:v>
                </c:pt>
                <c:pt idx="4">
                  <c:v>4.7936597652037935E-2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61-45BD-9D6C-074689E31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HT431'!$AF$3:$AF$7</c:f>
              <c:numCache>
                <c:formatCode>General</c:formatCode>
                <c:ptCount val="5"/>
                <c:pt idx="0">
                  <c:v>5.7159769375024157E-2</c:v>
                </c:pt>
                <c:pt idx="1">
                  <c:v>5.7159769375024157E-2</c:v>
                </c:pt>
                <c:pt idx="2">
                  <c:v>7.3795258068142652E-3</c:v>
                </c:pt>
                <c:pt idx="3">
                  <c:v>5.7159769375024157E-2</c:v>
                </c:pt>
                <c:pt idx="4">
                  <c:v>6.8424971737785917E-2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90-4D1C-B3F9-07938F0E6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HT431'!$AP$3:$AP$7</c:f>
              <c:numCache>
                <c:formatCode>General</c:formatCode>
                <c:ptCount val="5"/>
                <c:pt idx="0">
                  <c:v>4.932657303191082E-2</c:v>
                </c:pt>
                <c:pt idx="1">
                  <c:v>4.932657303191082E-2</c:v>
                </c:pt>
                <c:pt idx="2">
                  <c:v>-7.3274107299425434E-2</c:v>
                </c:pt>
                <c:pt idx="3">
                  <c:v>4.932657303191082E-2</c:v>
                </c:pt>
                <c:pt idx="4">
                  <c:v>5.8310110800934595E-2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8D-4517-8FA7-13946F922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HT431'!$AQ$3:$AQ$7</c:f>
              <c:numCache>
                <c:formatCode>General</c:formatCode>
                <c:ptCount val="5"/>
                <c:pt idx="0">
                  <c:v>6.9529183314323742E-2</c:v>
                </c:pt>
                <c:pt idx="1">
                  <c:v>6.9529183314323742E-2</c:v>
                </c:pt>
                <c:pt idx="2">
                  <c:v>5.3385836625263965E-2</c:v>
                </c:pt>
                <c:pt idx="3">
                  <c:v>6.9529183314323742E-2</c:v>
                </c:pt>
                <c:pt idx="4">
                  <c:v>8.3232183321452186E-2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2F-4827-B7D1-02AE66AEF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HT431'!$BA$3:$BA$7</c:f>
              <c:numCache>
                <c:formatCode>General</c:formatCode>
                <c:ptCount val="5"/>
                <c:pt idx="0">
                  <c:v>4.112540040644759E-2</c:v>
                </c:pt>
                <c:pt idx="1">
                  <c:v>4.112540040644759E-2</c:v>
                </c:pt>
                <c:pt idx="2">
                  <c:v>8.8072122362923042E-2</c:v>
                </c:pt>
                <c:pt idx="3">
                  <c:v>4.112540040644759E-2</c:v>
                </c:pt>
                <c:pt idx="4">
                  <c:v>4.8615310309139147E-2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3-460C-B650-70AD3FF92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HT431'!$BB$3:$BB$7</c:f>
              <c:numCache>
                <c:formatCode>General</c:formatCode>
                <c:ptCount val="5"/>
                <c:pt idx="0">
                  <c:v>5.7969068759044291E-2</c:v>
                </c:pt>
                <c:pt idx="1">
                  <c:v>5.7969068759044291E-2</c:v>
                </c:pt>
                <c:pt idx="2">
                  <c:v>-2.5143317720795512E-2</c:v>
                </c:pt>
                <c:pt idx="3">
                  <c:v>5.7969068759044291E-2</c:v>
                </c:pt>
                <c:pt idx="4">
                  <c:v>6.9393770039186717E-2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15-45D4-90F9-B6F5D7E51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HT432'!$I$3:$I$7</c:f>
              <c:numCache>
                <c:formatCode>General</c:formatCode>
                <c:ptCount val="5"/>
                <c:pt idx="0">
                  <c:v>7.7955599720673327E-2</c:v>
                </c:pt>
                <c:pt idx="1">
                  <c:v>7.7955599720673327E-2</c:v>
                </c:pt>
                <c:pt idx="2">
                  <c:v>-0.1686065588934563</c:v>
                </c:pt>
                <c:pt idx="3">
                  <c:v>7.7955599720673327E-2</c:v>
                </c:pt>
                <c:pt idx="4">
                  <c:v>9.2153161630042377E-2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3A-4449-8C24-C4EFB7C0C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HT432'!$J$3:$J$7</c:f>
              <c:numCache>
                <c:formatCode>General</c:formatCode>
                <c:ptCount val="5"/>
                <c:pt idx="0">
                  <c:v>8.5122782552807322E-2</c:v>
                </c:pt>
                <c:pt idx="1">
                  <c:v>8.5122782552807322E-2</c:v>
                </c:pt>
                <c:pt idx="2">
                  <c:v>0.1232252305265245</c:v>
                </c:pt>
                <c:pt idx="3">
                  <c:v>8.5122782552807322E-2</c:v>
                </c:pt>
                <c:pt idx="4">
                  <c:v>0.10677897145603846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8B-4122-84B5-545DBE32A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HT431'!$I$3:$I$7</c:f>
              <c:numCache>
                <c:formatCode>General</c:formatCode>
                <c:ptCount val="5"/>
                <c:pt idx="0">
                  <c:v>5.7997576900555362E-2</c:v>
                </c:pt>
                <c:pt idx="1">
                  <c:v>5.7997576900555362E-2</c:v>
                </c:pt>
                <c:pt idx="2">
                  <c:v>-0.12544027498217017</c:v>
                </c:pt>
                <c:pt idx="3">
                  <c:v>5.7997576900555362E-2</c:v>
                </c:pt>
                <c:pt idx="4">
                  <c:v>6.8560309938200892E-2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6D-4E77-83F3-96F0D58E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HT431'!$J$3:$J$7</c:f>
              <c:numCache>
                <c:formatCode>General</c:formatCode>
                <c:ptCount val="5"/>
                <c:pt idx="0">
                  <c:v>6.3329833197171295E-2</c:v>
                </c:pt>
                <c:pt idx="1">
                  <c:v>6.3329833197171295E-2</c:v>
                </c:pt>
                <c:pt idx="2">
                  <c:v>9.1677375443954032E-2</c:v>
                </c:pt>
                <c:pt idx="3">
                  <c:v>6.3329833197171295E-2</c:v>
                </c:pt>
                <c:pt idx="4">
                  <c:v>7.9441651793764251E-2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74-4586-A8A9-F1267D845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HT432'!$I$3:$I$7</c:f>
              <c:numCache>
                <c:formatCode>General</c:formatCode>
                <c:ptCount val="5"/>
                <c:pt idx="0">
                  <c:v>7.7955599720673327E-2</c:v>
                </c:pt>
                <c:pt idx="1">
                  <c:v>7.7955599720673327E-2</c:v>
                </c:pt>
                <c:pt idx="2">
                  <c:v>-0.1686065588934563</c:v>
                </c:pt>
                <c:pt idx="3">
                  <c:v>7.7955599720673327E-2</c:v>
                </c:pt>
                <c:pt idx="4">
                  <c:v>9.2153161630042377E-2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DA-4626-BA7D-292AF71DC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HT432'!$J$3:$J$7</c:f>
              <c:numCache>
                <c:formatCode>General</c:formatCode>
                <c:ptCount val="5"/>
                <c:pt idx="0">
                  <c:v>8.5122782552807322E-2</c:v>
                </c:pt>
                <c:pt idx="1">
                  <c:v>8.5122782552807322E-2</c:v>
                </c:pt>
                <c:pt idx="2">
                  <c:v>0.1232252305265245</c:v>
                </c:pt>
                <c:pt idx="3">
                  <c:v>8.5122782552807322E-2</c:v>
                </c:pt>
                <c:pt idx="4">
                  <c:v>0.10677897145603846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84-4B7B-BA8E-A1FA818EB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HT432'!$T$3:$T$7</c:f>
              <c:numCache>
                <c:formatCode>General</c:formatCode>
                <c:ptCount val="5"/>
                <c:pt idx="0">
                  <c:v>6.70763665634804E-2</c:v>
                </c:pt>
                <c:pt idx="1">
                  <c:v>6.70763665634804E-2</c:v>
                </c:pt>
                <c:pt idx="2">
                  <c:v>-5.2432866241834672E-2</c:v>
                </c:pt>
                <c:pt idx="3">
                  <c:v>6.70763665634804E-2</c:v>
                </c:pt>
                <c:pt idx="4">
                  <c:v>7.9292562325591828E-2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58-45D5-98CC-8CC138EC6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HT432'!$U$3:$U$7</c:f>
              <c:numCache>
                <c:formatCode>General</c:formatCode>
                <c:ptCount val="5"/>
                <c:pt idx="0">
                  <c:v>9.4548733069979879E-2</c:v>
                </c:pt>
                <c:pt idx="1">
                  <c:v>9.4548733069979879E-2</c:v>
                </c:pt>
                <c:pt idx="2">
                  <c:v>1.7868302760777804E-2</c:v>
                </c:pt>
                <c:pt idx="3">
                  <c:v>9.4548733069979879E-2</c:v>
                </c:pt>
                <c:pt idx="4">
                  <c:v>0.11318265379467521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D9-4E45-96C1-645A401D7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HT432'!$AE$3:$AE$7</c:f>
              <c:numCache>
                <c:formatCode>General</c:formatCode>
                <c:ptCount val="5"/>
                <c:pt idx="0">
                  <c:v>5.4505678604744354E-2</c:v>
                </c:pt>
                <c:pt idx="1">
                  <c:v>5.4505678604744354E-2</c:v>
                </c:pt>
                <c:pt idx="2">
                  <c:v>8.2457793250642314E-2</c:v>
                </c:pt>
                <c:pt idx="3">
                  <c:v>5.4505678604744354E-2</c:v>
                </c:pt>
                <c:pt idx="4">
                  <c:v>6.4432454220297863E-2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1-4D9C-A1FE-F91A4BB33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HT432'!$AF$3:$AF$7</c:f>
              <c:numCache>
                <c:formatCode>General</c:formatCode>
                <c:ptCount val="5"/>
                <c:pt idx="0">
                  <c:v>7.6829487362302482E-2</c:v>
                </c:pt>
                <c:pt idx="1">
                  <c:v>7.6829487362302482E-2</c:v>
                </c:pt>
                <c:pt idx="2">
                  <c:v>9.9189550782574701E-3</c:v>
                </c:pt>
                <c:pt idx="3">
                  <c:v>7.6829487362302482E-2</c:v>
                </c:pt>
                <c:pt idx="4">
                  <c:v>9.1971251089252776E-2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50-40E3-93C1-54500B5EE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HT432'!$AP$3:$AP$7</c:f>
              <c:numCache>
                <c:formatCode>General</c:formatCode>
                <c:ptCount val="5"/>
                <c:pt idx="0">
                  <c:v>6.6300745451166918E-2</c:v>
                </c:pt>
                <c:pt idx="1">
                  <c:v>6.6300745451166918E-2</c:v>
                </c:pt>
                <c:pt idx="2">
                  <c:v>-9.8489062539938263E-2</c:v>
                </c:pt>
                <c:pt idx="3">
                  <c:v>6.6300745451166918E-2</c:v>
                </c:pt>
                <c:pt idx="4">
                  <c:v>7.8375682229962967E-2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38-4ED5-B7FB-0440D8A00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HT432'!$AQ$3:$AQ$7</c:f>
              <c:numCache>
                <c:formatCode>General</c:formatCode>
                <c:ptCount val="5"/>
                <c:pt idx="0">
                  <c:v>9.345544198597093E-2</c:v>
                </c:pt>
                <c:pt idx="1">
                  <c:v>9.345544198597093E-2</c:v>
                </c:pt>
                <c:pt idx="2">
                  <c:v>7.1756875599271602E-2</c:v>
                </c:pt>
                <c:pt idx="3">
                  <c:v>9.345544198597093E-2</c:v>
                </c:pt>
                <c:pt idx="4">
                  <c:v>0.11187389393888104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90-47E2-9CC9-E9DECB6C7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HT432'!$BA$3:$BA$7</c:f>
              <c:numCache>
                <c:formatCode>General</c:formatCode>
                <c:ptCount val="5"/>
                <c:pt idx="0">
                  <c:v>5.5277399915077227E-2</c:v>
                </c:pt>
                <c:pt idx="1">
                  <c:v>5.5277399915077227E-2</c:v>
                </c:pt>
                <c:pt idx="2">
                  <c:v>0.11837934417926425</c:v>
                </c:pt>
                <c:pt idx="3">
                  <c:v>5.5277399915077227E-2</c:v>
                </c:pt>
                <c:pt idx="4">
                  <c:v>6.5344724267597534E-2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57-4806-86E6-1EF1039FF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HT432'!$AT$3:$AT$7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HT432'!$BB$3:$BB$7</c:f>
              <c:numCache>
                <c:formatCode>General</c:formatCode>
                <c:ptCount val="5"/>
                <c:pt idx="0">
                  <c:v>7.7917281408302647E-2</c:v>
                </c:pt>
                <c:pt idx="1">
                  <c:v>7.7917281408302647E-2</c:v>
                </c:pt>
                <c:pt idx="2">
                  <c:v>-3.3795591413290207E-2</c:v>
                </c:pt>
                <c:pt idx="3">
                  <c:v>7.7917281408302647E-2</c:v>
                </c:pt>
                <c:pt idx="4">
                  <c:v>9.327343053587972E-2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EB-48AE-A2E7-A536DDF28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HT433'!$I$3:$I$7</c:f>
              <c:numCache>
                <c:formatCode>General</c:formatCode>
                <c:ptCount val="5"/>
                <c:pt idx="0">
                  <c:v>7.4597142287307447E-2</c:v>
                </c:pt>
                <c:pt idx="1">
                  <c:v>7.4597142287307447E-2</c:v>
                </c:pt>
                <c:pt idx="2">
                  <c:v>-0.16134270673839679</c:v>
                </c:pt>
                <c:pt idx="3">
                  <c:v>7.4597142287307447E-2</c:v>
                </c:pt>
                <c:pt idx="4">
                  <c:v>8.8183049517589374E-2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86-48AD-8A73-213FDBE0D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HT433'!$J$3:$J$7</c:f>
              <c:numCache>
                <c:formatCode>General</c:formatCode>
                <c:ptCount val="5"/>
                <c:pt idx="0">
                  <c:v>8.1455550912776092E-2</c:v>
                </c:pt>
                <c:pt idx="1">
                  <c:v>8.1455550912776092E-2</c:v>
                </c:pt>
                <c:pt idx="2">
                  <c:v>0.11791648179105321</c:v>
                </c:pt>
                <c:pt idx="3">
                  <c:v>8.1455550912776092E-2</c:v>
                </c:pt>
                <c:pt idx="4">
                  <c:v>0.10217875502901258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F0-4EA5-BB59-DA9051F39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HT431'!$I$3:$I$7</c:f>
              <c:numCache>
                <c:formatCode>General</c:formatCode>
                <c:ptCount val="5"/>
                <c:pt idx="0">
                  <c:v>5.7997576900555362E-2</c:v>
                </c:pt>
                <c:pt idx="1">
                  <c:v>5.7997576900555362E-2</c:v>
                </c:pt>
                <c:pt idx="2">
                  <c:v>-0.12544027498217017</c:v>
                </c:pt>
                <c:pt idx="3">
                  <c:v>5.7997576900555362E-2</c:v>
                </c:pt>
                <c:pt idx="4">
                  <c:v>6.8560309938200892E-2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B-4010-BEDF-D8DB5BE81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HT431'!$B$3:$B$7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HT431'!$J$3:$J$7</c:f>
              <c:numCache>
                <c:formatCode>General</c:formatCode>
                <c:ptCount val="5"/>
                <c:pt idx="0">
                  <c:v>6.3329833197171295E-2</c:v>
                </c:pt>
                <c:pt idx="1">
                  <c:v>6.3329833197171295E-2</c:v>
                </c:pt>
                <c:pt idx="2">
                  <c:v>9.1677375443954032E-2</c:v>
                </c:pt>
                <c:pt idx="3">
                  <c:v>6.3329833197171295E-2</c:v>
                </c:pt>
                <c:pt idx="4">
                  <c:v>7.9441651793764251E-2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3-409B-8B97-D0F12F3B8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HT433'!$I$3:$I$7</c:f>
              <c:numCache>
                <c:formatCode>General</c:formatCode>
                <c:ptCount val="5"/>
                <c:pt idx="0">
                  <c:v>7.4597142287307447E-2</c:v>
                </c:pt>
                <c:pt idx="1">
                  <c:v>7.4597142287307447E-2</c:v>
                </c:pt>
                <c:pt idx="2">
                  <c:v>-0.16134270673839679</c:v>
                </c:pt>
                <c:pt idx="3">
                  <c:v>7.4597142287307447E-2</c:v>
                </c:pt>
                <c:pt idx="4">
                  <c:v>8.8183049517589374E-2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C8-4605-88BA-8A10C79A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HT433'!$J$3:$J$7</c:f>
              <c:numCache>
                <c:formatCode>General</c:formatCode>
                <c:ptCount val="5"/>
                <c:pt idx="0">
                  <c:v>8.1455550912776092E-2</c:v>
                </c:pt>
                <c:pt idx="1">
                  <c:v>8.1455550912776092E-2</c:v>
                </c:pt>
                <c:pt idx="2">
                  <c:v>0.11791648179105321</c:v>
                </c:pt>
                <c:pt idx="3">
                  <c:v>8.1455550912776092E-2</c:v>
                </c:pt>
                <c:pt idx="4">
                  <c:v>0.10217875502901258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4C-4734-B4C7-177DA9EB8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</a:t>
            </a:r>
            <a:r>
              <a:rPr lang="en-US" baseline="0"/>
              <a:t> 10%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HT433'!$T$3:$T$7</c:f>
              <c:numCache>
                <c:formatCode>General</c:formatCode>
                <c:ptCount val="5"/>
                <c:pt idx="0">
                  <c:v>6.4186604664457331E-2</c:v>
                </c:pt>
                <c:pt idx="1">
                  <c:v>6.4186604664457331E-2</c:v>
                </c:pt>
                <c:pt idx="2">
                  <c:v>-5.0173970793482812E-2</c:v>
                </c:pt>
                <c:pt idx="3">
                  <c:v>6.4186604664457331E-2</c:v>
                </c:pt>
                <c:pt idx="4">
                  <c:v>7.5876506310280464E-2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17-4A3D-8BA8-1329F047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HT433'!$M$3:$M$7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HT433'!$U$3:$U$7</c:f>
              <c:numCache>
                <c:formatCode>General</c:formatCode>
                <c:ptCount val="5"/>
                <c:pt idx="0">
                  <c:v>9.0475415738935194E-2</c:v>
                </c:pt>
                <c:pt idx="1">
                  <c:v>9.0475415738935194E-2</c:v>
                </c:pt>
                <c:pt idx="2">
                  <c:v>1.7098506435131014E-2</c:v>
                </c:pt>
                <c:pt idx="3">
                  <c:v>9.0475415738935194E-2</c:v>
                </c:pt>
                <c:pt idx="4">
                  <c:v>0.10830655603740276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B4-4494-A69D-8D3D18070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HT433'!$AE$3:$AE$7</c:f>
              <c:numCache>
                <c:formatCode>General</c:formatCode>
                <c:ptCount val="5"/>
                <c:pt idx="0">
                  <c:v>5.2157482937894649E-2</c:v>
                </c:pt>
                <c:pt idx="1">
                  <c:v>5.2157482937894649E-2</c:v>
                </c:pt>
                <c:pt idx="2">
                  <c:v>7.8905373800675249E-2</c:v>
                </c:pt>
                <c:pt idx="3">
                  <c:v>5.2157482937894649E-2</c:v>
                </c:pt>
                <c:pt idx="4">
                  <c:v>6.1656596480744355E-2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70-4B6E-A85D-CBB8A6F01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Gade 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HT433'!$X$3:$X$7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HT433'!$AF$3:$AF$7</c:f>
              <c:numCache>
                <c:formatCode>General</c:formatCode>
                <c:ptCount val="5"/>
                <c:pt idx="0">
                  <c:v>7.3519544730109673E-2</c:v>
                </c:pt>
                <c:pt idx="1">
                  <c:v>7.3519544730109673E-2</c:v>
                </c:pt>
                <c:pt idx="2">
                  <c:v>9.4916299273618398E-3</c:v>
                </c:pt>
                <c:pt idx="3">
                  <c:v>7.3519544730109673E-2</c:v>
                </c:pt>
                <c:pt idx="4">
                  <c:v>8.8008975986714547E-2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CC-4BAF-BD7F-9FEECF8A4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HT433'!$AP$3:$AP$7</c:f>
              <c:numCache>
                <c:formatCode>General</c:formatCode>
                <c:ptCount val="5"/>
                <c:pt idx="0">
                  <c:v>6.344439860506447E-2</c:v>
                </c:pt>
                <c:pt idx="1">
                  <c:v>6.344439860506447E-2</c:v>
                </c:pt>
                <c:pt idx="2">
                  <c:v>-9.4245989234393882E-2</c:v>
                </c:pt>
                <c:pt idx="3">
                  <c:v>6.344439860506447E-2</c:v>
                </c:pt>
                <c:pt idx="4">
                  <c:v>7.4999126940496874E-2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3-4265-AC96-38B7EEED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 30%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HT433'!$AI$3:$AI$7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HT433'!$AQ$3:$AQ$7</c:f>
              <c:numCache>
                <c:formatCode>General</c:formatCode>
                <c:ptCount val="5"/>
                <c:pt idx="0">
                  <c:v>8.9429225460783426E-2</c:v>
                </c:pt>
                <c:pt idx="1">
                  <c:v>8.9429225460783426E-2</c:v>
                </c:pt>
                <c:pt idx="2">
                  <c:v>6.8665469553843214E-2</c:v>
                </c:pt>
                <c:pt idx="3">
                  <c:v>8.9429225460783426E-2</c:v>
                </c:pt>
                <c:pt idx="4">
                  <c:v>0.10705417974201904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44-4E29-9F2A-50511A93A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 </a:t>
            </a:r>
          </a:p>
          <a:p>
            <a:pPr>
              <a:defRPr/>
            </a:pPr>
            <a:r>
              <a:rPr lang="en-US"/>
              <a:t>(Muatan) Grade 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HT433'!$BA$3:$BA$7</c:f>
              <c:numCache>
                <c:formatCode>General</c:formatCode>
                <c:ptCount val="5"/>
                <c:pt idx="0">
                  <c:v>5.289595720528948E-2</c:v>
                </c:pt>
                <c:pt idx="1">
                  <c:v>5.289595720528948E-2</c:v>
                </c:pt>
                <c:pt idx="2">
                  <c:v>0.11327936432098099</c:v>
                </c:pt>
                <c:pt idx="3">
                  <c:v>5.289595720528948E-2</c:v>
                </c:pt>
                <c:pt idx="4">
                  <c:v>6.2529564410780253E-2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2D-47AF-AC9F-4C359CECE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28703"/>
        <c:axId val="1500431103"/>
      </c:scatterChart>
      <c:valAx>
        <c:axId val="15004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31103"/>
        <c:crosses val="autoZero"/>
        <c:crossBetween val="midCat"/>
      </c:valAx>
      <c:valAx>
        <c:axId val="15004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vs Fuel Consumption</a:t>
            </a:r>
          </a:p>
          <a:p>
            <a:pPr>
              <a:defRPr/>
            </a:pPr>
            <a:r>
              <a:rPr lang="en-US"/>
              <a:t>(Kosongan) Grade</a:t>
            </a:r>
            <a:r>
              <a:rPr lang="en-US" baseline="0"/>
              <a:t> 40%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'Regresi HT433'!$AT$3:$AT$7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'Regresi HT433'!$BB$3:$BB$7</c:f>
              <c:numCache>
                <c:formatCode>General</c:formatCode>
                <c:ptCount val="5"/>
                <c:pt idx="0">
                  <c:v>7.4560474791830963E-2</c:v>
                </c:pt>
                <c:pt idx="1">
                  <c:v>7.4560474791830963E-2</c:v>
                </c:pt>
                <c:pt idx="2">
                  <c:v>-3.2339620891561789E-2</c:v>
                </c:pt>
                <c:pt idx="3">
                  <c:v>7.4560474791830963E-2</c:v>
                </c:pt>
                <c:pt idx="4">
                  <c:v>8.9255055367948227E-2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A-4113-842E-27D572B6A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49823"/>
        <c:axId val="1500442623"/>
      </c:scatterChart>
      <c:valAx>
        <c:axId val="150044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2623"/>
        <c:crosses val="autoZero"/>
        <c:crossBetween val="midCat"/>
      </c:valAx>
      <c:valAx>
        <c:axId val="15004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(L/ritase)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4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5" Type="http://schemas.openxmlformats.org/officeDocument/2006/relationships/chart" Target="../charts/chart43.xml"/><Relationship Id="rId10" Type="http://schemas.openxmlformats.org/officeDocument/2006/relationships/chart" Target="../charts/chart48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8.xml"/><Relationship Id="rId3" Type="http://schemas.openxmlformats.org/officeDocument/2006/relationships/chart" Target="../charts/chart53.xml"/><Relationship Id="rId7" Type="http://schemas.openxmlformats.org/officeDocument/2006/relationships/chart" Target="../charts/chart57.xml"/><Relationship Id="rId12" Type="http://schemas.openxmlformats.org/officeDocument/2006/relationships/chart" Target="../charts/chart62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11" Type="http://schemas.openxmlformats.org/officeDocument/2006/relationships/chart" Target="../charts/chart61.xml"/><Relationship Id="rId5" Type="http://schemas.openxmlformats.org/officeDocument/2006/relationships/chart" Target="../charts/chart55.xml"/><Relationship Id="rId10" Type="http://schemas.openxmlformats.org/officeDocument/2006/relationships/chart" Target="../charts/chart60.xml"/><Relationship Id="rId4" Type="http://schemas.openxmlformats.org/officeDocument/2006/relationships/chart" Target="../charts/chart54.xml"/><Relationship Id="rId9" Type="http://schemas.openxmlformats.org/officeDocument/2006/relationships/chart" Target="../charts/chart5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0.xml"/><Relationship Id="rId3" Type="http://schemas.openxmlformats.org/officeDocument/2006/relationships/chart" Target="../charts/chart65.xml"/><Relationship Id="rId7" Type="http://schemas.openxmlformats.org/officeDocument/2006/relationships/chart" Target="../charts/chart69.xml"/><Relationship Id="rId12" Type="http://schemas.openxmlformats.org/officeDocument/2006/relationships/chart" Target="../charts/chart74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6" Type="http://schemas.openxmlformats.org/officeDocument/2006/relationships/chart" Target="../charts/chart68.xml"/><Relationship Id="rId11" Type="http://schemas.openxmlformats.org/officeDocument/2006/relationships/chart" Target="../charts/chart73.xml"/><Relationship Id="rId5" Type="http://schemas.openxmlformats.org/officeDocument/2006/relationships/chart" Target="../charts/chart67.xml"/><Relationship Id="rId10" Type="http://schemas.openxmlformats.org/officeDocument/2006/relationships/chart" Target="../charts/chart72.xml"/><Relationship Id="rId4" Type="http://schemas.openxmlformats.org/officeDocument/2006/relationships/chart" Target="../charts/chart66.xml"/><Relationship Id="rId9" Type="http://schemas.openxmlformats.org/officeDocument/2006/relationships/chart" Target="../charts/chart7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2.xml"/><Relationship Id="rId3" Type="http://schemas.openxmlformats.org/officeDocument/2006/relationships/chart" Target="../charts/chart77.xml"/><Relationship Id="rId7" Type="http://schemas.openxmlformats.org/officeDocument/2006/relationships/chart" Target="../charts/chart81.xml"/><Relationship Id="rId12" Type="http://schemas.openxmlformats.org/officeDocument/2006/relationships/chart" Target="../charts/chart86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5" Type="http://schemas.openxmlformats.org/officeDocument/2006/relationships/chart" Target="../charts/chart79.xml"/><Relationship Id="rId10" Type="http://schemas.openxmlformats.org/officeDocument/2006/relationships/chart" Target="../charts/chart84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4.xml"/><Relationship Id="rId3" Type="http://schemas.openxmlformats.org/officeDocument/2006/relationships/chart" Target="../charts/chart89.xml"/><Relationship Id="rId7" Type="http://schemas.openxmlformats.org/officeDocument/2006/relationships/chart" Target="../charts/chart93.xml"/><Relationship Id="rId12" Type="http://schemas.openxmlformats.org/officeDocument/2006/relationships/chart" Target="../charts/chart98.xml"/><Relationship Id="rId2" Type="http://schemas.openxmlformats.org/officeDocument/2006/relationships/chart" Target="../charts/chart88.xml"/><Relationship Id="rId1" Type="http://schemas.openxmlformats.org/officeDocument/2006/relationships/chart" Target="../charts/chart87.xml"/><Relationship Id="rId6" Type="http://schemas.openxmlformats.org/officeDocument/2006/relationships/chart" Target="../charts/chart92.xml"/><Relationship Id="rId11" Type="http://schemas.openxmlformats.org/officeDocument/2006/relationships/chart" Target="../charts/chart97.xml"/><Relationship Id="rId5" Type="http://schemas.openxmlformats.org/officeDocument/2006/relationships/chart" Target="../charts/chart91.xml"/><Relationship Id="rId10" Type="http://schemas.openxmlformats.org/officeDocument/2006/relationships/chart" Target="../charts/chart96.xml"/><Relationship Id="rId4" Type="http://schemas.openxmlformats.org/officeDocument/2006/relationships/chart" Target="../charts/chart90.xml"/><Relationship Id="rId9" Type="http://schemas.openxmlformats.org/officeDocument/2006/relationships/chart" Target="../charts/chart95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6.xml"/><Relationship Id="rId3" Type="http://schemas.openxmlformats.org/officeDocument/2006/relationships/chart" Target="../charts/chart101.xml"/><Relationship Id="rId7" Type="http://schemas.openxmlformats.org/officeDocument/2006/relationships/chart" Target="../charts/chart105.xml"/><Relationship Id="rId12" Type="http://schemas.openxmlformats.org/officeDocument/2006/relationships/chart" Target="../charts/chart110.xml"/><Relationship Id="rId2" Type="http://schemas.openxmlformats.org/officeDocument/2006/relationships/chart" Target="../charts/chart100.xml"/><Relationship Id="rId1" Type="http://schemas.openxmlformats.org/officeDocument/2006/relationships/chart" Target="../charts/chart99.xml"/><Relationship Id="rId6" Type="http://schemas.openxmlformats.org/officeDocument/2006/relationships/chart" Target="../charts/chart104.xml"/><Relationship Id="rId11" Type="http://schemas.openxmlformats.org/officeDocument/2006/relationships/chart" Target="../charts/chart109.xml"/><Relationship Id="rId5" Type="http://schemas.openxmlformats.org/officeDocument/2006/relationships/chart" Target="../charts/chart103.xml"/><Relationship Id="rId10" Type="http://schemas.openxmlformats.org/officeDocument/2006/relationships/chart" Target="../charts/chart108.xml"/><Relationship Id="rId4" Type="http://schemas.openxmlformats.org/officeDocument/2006/relationships/chart" Target="../charts/chart102.xml"/><Relationship Id="rId9" Type="http://schemas.openxmlformats.org/officeDocument/2006/relationships/chart" Target="../charts/chart107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8.xml"/><Relationship Id="rId3" Type="http://schemas.openxmlformats.org/officeDocument/2006/relationships/chart" Target="../charts/chart113.xml"/><Relationship Id="rId7" Type="http://schemas.openxmlformats.org/officeDocument/2006/relationships/chart" Target="../charts/chart117.xml"/><Relationship Id="rId12" Type="http://schemas.openxmlformats.org/officeDocument/2006/relationships/chart" Target="../charts/chart122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6" Type="http://schemas.openxmlformats.org/officeDocument/2006/relationships/chart" Target="../charts/chart116.xml"/><Relationship Id="rId11" Type="http://schemas.openxmlformats.org/officeDocument/2006/relationships/chart" Target="../charts/chart121.xml"/><Relationship Id="rId5" Type="http://schemas.openxmlformats.org/officeDocument/2006/relationships/chart" Target="../charts/chart115.xml"/><Relationship Id="rId10" Type="http://schemas.openxmlformats.org/officeDocument/2006/relationships/chart" Target="../charts/chart120.xml"/><Relationship Id="rId4" Type="http://schemas.openxmlformats.org/officeDocument/2006/relationships/chart" Target="../charts/chart114.xml"/><Relationship Id="rId9" Type="http://schemas.openxmlformats.org/officeDocument/2006/relationships/chart" Target="../charts/chart11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0.xml"/><Relationship Id="rId13" Type="http://schemas.openxmlformats.org/officeDocument/2006/relationships/chart" Target="../charts/chart135.xml"/><Relationship Id="rId3" Type="http://schemas.openxmlformats.org/officeDocument/2006/relationships/chart" Target="../charts/chart125.xml"/><Relationship Id="rId7" Type="http://schemas.openxmlformats.org/officeDocument/2006/relationships/chart" Target="../charts/chart129.xml"/><Relationship Id="rId12" Type="http://schemas.openxmlformats.org/officeDocument/2006/relationships/chart" Target="../charts/chart134.xml"/><Relationship Id="rId2" Type="http://schemas.openxmlformats.org/officeDocument/2006/relationships/chart" Target="../charts/chart124.xml"/><Relationship Id="rId1" Type="http://schemas.openxmlformats.org/officeDocument/2006/relationships/chart" Target="../charts/chart123.xml"/><Relationship Id="rId6" Type="http://schemas.openxmlformats.org/officeDocument/2006/relationships/chart" Target="../charts/chart128.xml"/><Relationship Id="rId11" Type="http://schemas.openxmlformats.org/officeDocument/2006/relationships/chart" Target="../charts/chart133.xml"/><Relationship Id="rId5" Type="http://schemas.openxmlformats.org/officeDocument/2006/relationships/chart" Target="../charts/chart127.xml"/><Relationship Id="rId10" Type="http://schemas.openxmlformats.org/officeDocument/2006/relationships/chart" Target="../charts/chart132.xml"/><Relationship Id="rId4" Type="http://schemas.openxmlformats.org/officeDocument/2006/relationships/chart" Target="../charts/chart126.xml"/><Relationship Id="rId9" Type="http://schemas.openxmlformats.org/officeDocument/2006/relationships/chart" Target="../charts/chart131.xml"/><Relationship Id="rId14" Type="http://schemas.openxmlformats.org/officeDocument/2006/relationships/chart" Target="../charts/chart13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4.xml"/><Relationship Id="rId13" Type="http://schemas.openxmlformats.org/officeDocument/2006/relationships/chart" Target="../charts/chart149.xml"/><Relationship Id="rId3" Type="http://schemas.openxmlformats.org/officeDocument/2006/relationships/chart" Target="../charts/chart139.xml"/><Relationship Id="rId7" Type="http://schemas.openxmlformats.org/officeDocument/2006/relationships/chart" Target="../charts/chart143.xml"/><Relationship Id="rId12" Type="http://schemas.openxmlformats.org/officeDocument/2006/relationships/chart" Target="../charts/chart148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6" Type="http://schemas.openxmlformats.org/officeDocument/2006/relationships/chart" Target="../charts/chart142.xml"/><Relationship Id="rId11" Type="http://schemas.openxmlformats.org/officeDocument/2006/relationships/chart" Target="../charts/chart147.xml"/><Relationship Id="rId5" Type="http://schemas.openxmlformats.org/officeDocument/2006/relationships/chart" Target="../charts/chart141.xml"/><Relationship Id="rId10" Type="http://schemas.openxmlformats.org/officeDocument/2006/relationships/chart" Target="../charts/chart146.xml"/><Relationship Id="rId4" Type="http://schemas.openxmlformats.org/officeDocument/2006/relationships/chart" Target="../charts/chart140.xml"/><Relationship Id="rId9" Type="http://schemas.openxmlformats.org/officeDocument/2006/relationships/chart" Target="../charts/chart145.xml"/><Relationship Id="rId14" Type="http://schemas.openxmlformats.org/officeDocument/2006/relationships/chart" Target="../charts/chart1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41275</xdr:colOff>
      <xdr:row>0</xdr:row>
      <xdr:rowOff>38100</xdr:rowOff>
    </xdr:from>
    <xdr:to>
      <xdr:col>17</xdr:col>
      <xdr:colOff>346075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EDCB8-A917-EDED-684E-91395CF80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22225</xdr:colOff>
      <xdr:row>16</xdr:row>
      <xdr:rowOff>12700</xdr:rowOff>
    </xdr:from>
    <xdr:to>
      <xdr:col>5</xdr:col>
      <xdr:colOff>1530513</xdr:colOff>
      <xdr:row>34</xdr:row>
      <xdr:rowOff>162821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128CF-C5A1-2FA0-DDFB-6482CA514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477879</xdr:colOff>
      <xdr:row>15</xdr:row>
      <xdr:rowOff>175195</xdr:rowOff>
    </xdr:from>
    <xdr:to>
      <xdr:col>14</xdr:col>
      <xdr:colOff>569872</xdr:colOff>
      <xdr:row>34</xdr:row>
      <xdr:rowOff>162820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4E89AC-A06B-2F57-F0F2-B06107F0D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591851</xdr:colOff>
      <xdr:row>15</xdr:row>
      <xdr:rowOff>175195</xdr:rowOff>
    </xdr:from>
    <xdr:to>
      <xdr:col>25</xdr:col>
      <xdr:colOff>16281</xdr:colOff>
      <xdr:row>34</xdr:row>
      <xdr:rowOff>162821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8DC537-3B7D-DD8B-65E3-816193A1E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067CA-45F7-0F5C-195A-AA8796BAB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4B926F-D269-5C46-DDD4-661812CE2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355BFC0-9FF1-473D-B6C0-EA85AA420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6C4E30-CC0C-4C0B-B37C-A969D7976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5C46D76-9960-43CD-99E8-0E0BDBDF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0C21E2D-3E24-4322-868C-2B6DFEBBC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1D379A7-2580-4F4E-8D39-2C31CDBBD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5C537B-1938-4D71-851C-E14286645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C946510-8F92-42B0-A2A3-F013802C6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4B4B328-5444-4B21-81E3-64EDF744E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23061-FB3E-4FC2-8859-EF58F2643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CA4505-4AAC-4CB5-98DE-13444DBAC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D0C063-E360-48A2-A74A-23F7D5C54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1D3065-9AF9-4858-A2A3-F245B3AA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1D85B9-56A3-4C3C-AF4B-77F9F8706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8AD8A9-8AE9-486C-9625-E17E01B2B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FE0072-B779-44F8-AA17-AE84E200B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254FEC-3F38-47E1-A835-38590B655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D204D0-1E51-403D-861C-EDBC0A6BF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6682EC8-BFDF-42D2-B519-A79462E46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979F69D-2EBF-464C-99A7-CE64E9768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1E1801F-16BD-4A08-B925-0DB6FD859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30C41-217D-4FC8-A1FB-CF1922E2F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F79A90-5429-4BE8-808C-CFACC2693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6A64A0-61D2-42A2-90CF-AEA7AD98B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F38806-F95B-4AD4-A10B-BC5D81472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6FBC61-8EF9-409D-AEE3-E163FE2DC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104F6A-FA2A-48A6-8C66-5437A8B7A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307DF0-23DB-4F34-821D-D48524122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3DD36C-A412-423E-BEA5-3CB60160B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A36E63-2D84-4655-9607-ADE75D6FD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C761EE-012B-455F-AADF-32433D164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92CCAF-F429-42BE-84D5-C00ACFADD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39FCFB6-AA5C-4D32-B843-1F13632ED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812EF-22B6-42AD-8ED6-7B6317EBB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6C3B3E-7731-45D7-8F52-F51C9922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C98B66-A2DD-4585-B7F6-5B8DBC377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7A543A-A9AC-47A7-9292-F6E134858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1DFFF8-2E09-4957-BCEE-4739E77DD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FAC30F-33AE-479F-9504-45E95B45F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17BFCF-FC19-4E49-98B7-CB22523BD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C56DC9-42C5-45FD-93F5-03833656F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92DEE17-F231-4841-A02F-6EC67FD83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6C381EA-A446-4CF5-ABC0-AEDC8B3B8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B6BDC7-A093-4B1A-A3C8-B1ED23A9F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7B41B7-9309-4407-9754-C90FF33D3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F8DBD-3F22-4EAE-8569-767462357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4813E5-774B-4B40-8790-1D9837EAD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DB63CC-F525-404D-AA73-0283E749D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D7F6FA-8607-4EB3-B52D-1B9BDA5AF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6745C8-52AA-4B78-95F0-AED78CD19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1286CF-0175-4634-978B-A6424F19D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B454BC-B5A9-4DD6-9D8F-8A7080529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7C68AD-C571-404F-BE6C-B87B7000E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A32E2D-CFCF-4FF5-8D76-D96D99E61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51DBCCF-CB3F-4B45-A773-80FE080FC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1FA099F-276E-479D-AA98-4141F58BC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185B18-1FFF-44FC-B9A6-D0C300731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61434-C6CC-4AE6-A442-330A812EA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7575D2-4E1B-4DFB-B34D-977CACEBD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79F3E1-22AE-488B-94D8-8BA609107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736ECB-7FF9-493F-AD7B-041EEFD84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2753F0-789B-4FA3-BAA9-EF1888672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DAF5F2-F30D-45FB-B9D8-5FDA61A1A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C75F31-FA44-4306-8CB5-1EA42EAF8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D70908-0D9E-482D-9F22-D97D37E22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296C92-412A-42F5-8119-F41F3DE8D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106D0B-A63C-4E5F-B40A-3621FE6D0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411EC55-0D60-4FCA-A24B-18654F029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5B25E8D-F246-4410-BAB4-3F44CA3D5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DE0CA-26FC-4C2F-921B-247095C93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01A4B4-6903-4186-A1EC-1787FA2F5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7ED324-BFBC-4D68-8629-29D8A7107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0AA0CE-73AA-4D88-8AFE-8DADEC4A0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617339-D713-4C1C-B17A-FE40126B3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63B6C2-74BF-4164-A4F5-3DD8E4F20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1C20F3-17AA-43A5-8D71-A7E648A16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5B437B-E3B5-480B-B9D5-A605907FD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E2D101-D6FD-45BF-BC0C-657523B07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DAB6D2E-017E-46F6-BB49-7950BC333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4EC85F-13A2-498D-996C-F312D827A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D851DB6-5699-48E3-B25A-E73F492F2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369ED1-C53B-47BF-BE8C-F201E0C72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59634A-05CE-4008-BF2C-79325D5F9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B20D7B-1505-4BDE-8639-B7742F8DD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EDE189-74ED-45D4-8A79-841E53B20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CE27E3-C89C-4E7D-BC02-C3141EB5E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DF888F-AD05-450B-9FAD-6A67F5799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560367-777B-43E4-AAFA-8EB7ADCFD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694A45-7726-4DCC-BDD2-C4FBBEA9E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07A6961-9FC3-46F2-9E2C-50AF901C3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4C693B-8787-4C33-84E2-2A885FE2A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FE37EF-F52A-420D-BD89-357B14DE3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59E987-B8C8-42BC-8E71-7638676B5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13130-81C6-4C07-B702-A2BB83C87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426439-B258-478D-A083-6FAAC57A5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42D63F-168E-47EF-9FB8-33C83C0FB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212FD3-3D91-4395-AEBB-269CDCBFD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1ECCF0-734F-46F1-8EA5-83C9CD39E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333451-D69E-40EB-927E-120F1C4B1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89790E-22A1-4F2C-A6E6-D0248C51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C67DC8-89E1-4CE9-BE9A-1EEC633AE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1FC7C8-F059-43CE-A467-8EBF36EF5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15D0BB-7D7B-4153-A4B0-50BCEC80E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5A13791-DF33-4C1D-A3B3-756CC7F34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30A3005-60E8-4732-BB40-D697C6F80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EB816-D91E-4667-AD12-85FDC2F71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CE779-A9FE-48D2-AD64-67EF4CBE5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FAD15-7CD6-48E2-9F13-F5A630D1F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6818E6-A306-4370-ADEB-63B6182A5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E0B64F-7298-4C5D-8135-1D5F1C596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46BEBC-FFEF-4D9F-874D-20118C6C9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4B80E9-362F-4DFE-AFE1-372722ED2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333776-636A-4EA7-8D65-CCA2A01A5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677716-5A47-4C95-84ED-AA958CFF5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DC2EE7-E87F-4B43-82D6-00EAEDB46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1FEA246-F2FD-43AD-978A-27EDC9BA2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4D949B6-AE19-47BB-977D-D0D6BACD9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E09A6-A9F8-472C-AF2E-2C4E13B1A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6CCA2-B04A-4413-9671-E7C3A5F9D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5A9F2C-C3C1-4A79-A49D-AFFB32C98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EE2DB2-48C9-4A29-9B1F-A62D615ED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270A15-33AE-49E4-8277-DE7A6349F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9753CA-8511-4469-AAD0-7CFBB79B4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1B7AAC-4DA2-4040-8E24-76D2E7AF3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D0055F-A5C7-4632-9DBE-352F65003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937CE7-57CB-411B-A0B7-09231476C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3824C82-0B10-4309-97DC-7D809C9C4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1F8842A-50B9-45B2-B94B-1E1384176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59CB273-D840-425E-AAE9-21AFD94B3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0B97C1-3A91-4D70-84DE-8028091C8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54EEAAB-0AD7-4DF9-9C3E-1F0EBAE34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9D6FB-A498-4397-9851-475CF6E74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26AAA-D835-46CC-90F5-4BA8D54F5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AF286D-33AD-467B-8C48-750BDAA49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0B06EE-9711-4B6E-8298-9A404F4E5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79375</xdr:colOff>
      <xdr:row>10</xdr:row>
      <xdr:rowOff>19050</xdr:rowOff>
    </xdr:from>
    <xdr:to>
      <xdr:col>7</xdr:col>
      <xdr:colOff>384175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08E862-2D38-4AAB-8990-DA438BBAD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22225</xdr:colOff>
      <xdr:row>10</xdr:row>
      <xdr:rowOff>6350</xdr:rowOff>
    </xdr:from>
    <xdr:to>
      <xdr:col>15</xdr:col>
      <xdr:colOff>327025</xdr:colOff>
      <xdr:row>24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3C747E-A50B-4C40-9391-3E16170E9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95BB36-9E6D-43B5-B44D-5BDE329A1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304800</xdr:colOff>
      <xdr:row>40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3982C8-04B8-4AF7-BD75-F8A030E1C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304800</xdr:colOff>
      <xdr:row>56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15C1EB-0219-4042-843B-38759AD99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56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F44568-877D-4570-90AB-5FF751C71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7</xdr:col>
      <xdr:colOff>304800</xdr:colOff>
      <xdr:row>72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8D9D20F-A09E-42F9-AB8A-D721A9053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15</xdr:col>
      <xdr:colOff>304800</xdr:colOff>
      <xdr:row>72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A008A26-0998-4CD3-86FA-00F74C8E8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304800</xdr:colOff>
      <xdr:row>88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130DEA-9833-4D92-BDED-5FB5F2CAE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15</xdr:col>
      <xdr:colOff>304800</xdr:colOff>
      <xdr:row>88</xdr:row>
      <xdr:rowOff>165100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93AA0E-F387-443C-95EA-5CBD47191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D45F-FF1C-49F7-99AB-0C5F4FE8192B}">
  <dimension ref="A1:AF40"/>
  <sheetViews>
    <sheetView zoomScale="70" workbookViewId="0">
      <selection activeCell="B15" sqref="B15"/>
    </sheetView>
  </sheetViews>
  <sheetFormatPr defaultColWidth="8.90625" defaultRowHeight="14.5" x14ac:dyDescent="0.3"/>
  <cols>
    <col min="1" max="1" width="19.90625" style="7" bestFit="1" customWidth="1"/>
    <col min="2" max="2" width="19.54296875" style="7" bestFit="1" customWidth="1"/>
    <col min="3" max="3" width="11.54296875" style="7" customWidth="1"/>
    <col min="4" max="4" width="12.1796875" style="10" bestFit="1" customWidth="1"/>
    <col min="5" max="5" width="12" style="10" bestFit="1" customWidth="1"/>
    <col min="6" max="6" width="12.1796875" style="10" bestFit="1" customWidth="1"/>
    <col min="7" max="7" width="9.453125" style="10" customWidth="1"/>
    <col min="8" max="8" width="10.90625" style="10" customWidth="1"/>
    <col min="9" max="9" width="11.453125" style="10" customWidth="1"/>
    <col min="10" max="10" width="8.90625" style="10"/>
    <col min="11" max="11" width="9.453125" style="10" customWidth="1"/>
    <col min="12" max="16" width="8.90625" style="10"/>
    <col min="17" max="17" width="9.6328125" style="10" customWidth="1"/>
    <col min="18" max="18" width="8.90625" style="10"/>
    <col min="19" max="19" width="9.81640625" style="10" customWidth="1"/>
    <col min="20" max="21" width="12.1796875" style="10" bestFit="1" customWidth="1"/>
    <col min="22" max="22" width="11" style="10" bestFit="1" customWidth="1"/>
    <col min="23" max="23" width="12.08984375" style="10" customWidth="1"/>
    <col min="24" max="24" width="8.90625" style="10"/>
    <col min="25" max="25" width="13.1796875" style="10" customWidth="1"/>
    <col min="26" max="26" width="9.54296875" style="10" customWidth="1"/>
    <col min="27" max="27" width="10" style="10" customWidth="1"/>
    <col min="28" max="29" width="7.08984375" style="10" customWidth="1"/>
    <col min="30" max="30" width="7.453125" style="10" customWidth="1"/>
    <col min="31" max="31" width="9.453125" style="10" customWidth="1"/>
    <col min="32" max="32" width="9.6328125" style="10" customWidth="1"/>
    <col min="33" max="16384" width="8.90625" style="7"/>
  </cols>
  <sheetData>
    <row r="1" spans="1:32" x14ac:dyDescent="0.3">
      <c r="A1" s="6" t="s">
        <v>68</v>
      </c>
      <c r="B1" s="8" t="s">
        <v>69</v>
      </c>
      <c r="D1" s="29" t="s">
        <v>70</v>
      </c>
      <c r="E1" s="32" t="s">
        <v>71</v>
      </c>
      <c r="F1" s="29" t="s">
        <v>72</v>
      </c>
      <c r="G1" s="28" t="s">
        <v>73</v>
      </c>
      <c r="H1" s="28"/>
      <c r="I1" s="28"/>
      <c r="J1" s="28"/>
      <c r="K1" s="28"/>
      <c r="L1" s="28"/>
      <c r="M1" s="28" t="s">
        <v>74</v>
      </c>
      <c r="N1" s="28"/>
      <c r="O1" s="28"/>
      <c r="P1" s="11"/>
      <c r="Q1" s="21" t="s">
        <v>75</v>
      </c>
      <c r="S1" s="29" t="s">
        <v>70</v>
      </c>
      <c r="T1" s="32" t="s">
        <v>71</v>
      </c>
      <c r="U1" s="29" t="s">
        <v>72</v>
      </c>
      <c r="V1" s="28" t="s">
        <v>73</v>
      </c>
      <c r="W1" s="28"/>
      <c r="X1" s="28"/>
      <c r="Y1" s="28"/>
      <c r="Z1" s="28"/>
      <c r="AA1" s="28"/>
      <c r="AB1" s="28" t="s">
        <v>74</v>
      </c>
      <c r="AC1" s="28"/>
      <c r="AD1" s="28"/>
      <c r="AE1" s="11"/>
      <c r="AF1" s="21" t="s">
        <v>75</v>
      </c>
    </row>
    <row r="2" spans="1:32" ht="14.5" customHeight="1" x14ac:dyDescent="0.3">
      <c r="A2" s="2">
        <v>133.41176470588238</v>
      </c>
      <c r="B2" s="9">
        <f>A2+A2*0.1</f>
        <v>146.75294117647061</v>
      </c>
      <c r="D2" s="30"/>
      <c r="E2" s="33"/>
      <c r="F2" s="30"/>
      <c r="G2" s="21" t="s">
        <v>76</v>
      </c>
      <c r="H2" s="28" t="s">
        <v>77</v>
      </c>
      <c r="I2" s="21" t="s">
        <v>78</v>
      </c>
      <c r="J2" s="21" t="s">
        <v>79</v>
      </c>
      <c r="K2" s="21" t="s">
        <v>80</v>
      </c>
      <c r="L2" s="21" t="s">
        <v>81</v>
      </c>
      <c r="M2" s="28">
        <v>1</v>
      </c>
      <c r="N2" s="28">
        <v>2</v>
      </c>
      <c r="O2" s="28">
        <v>3</v>
      </c>
      <c r="P2" s="21" t="s">
        <v>82</v>
      </c>
      <c r="Q2" s="21"/>
      <c r="S2" s="30"/>
      <c r="T2" s="33"/>
      <c r="U2" s="30"/>
      <c r="V2" s="21" t="s">
        <v>76</v>
      </c>
      <c r="W2" s="28" t="s">
        <v>77</v>
      </c>
      <c r="X2" s="21" t="s">
        <v>78</v>
      </c>
      <c r="Y2" s="21" t="s">
        <v>79</v>
      </c>
      <c r="Z2" s="21" t="s">
        <v>80</v>
      </c>
      <c r="AA2" s="21" t="s">
        <v>81</v>
      </c>
      <c r="AB2" s="28">
        <v>1</v>
      </c>
      <c r="AC2" s="28">
        <v>2</v>
      </c>
      <c r="AD2" s="28">
        <v>3</v>
      </c>
      <c r="AE2" s="21" t="s">
        <v>82</v>
      </c>
      <c r="AF2" s="21"/>
    </row>
    <row r="3" spans="1:32" ht="14.5" customHeight="1" x14ac:dyDescent="0.3">
      <c r="A3" s="2">
        <v>129.50749464668095</v>
      </c>
      <c r="B3" s="9">
        <f t="shared" ref="B3:B13" si="0">A3+A3*0.1</f>
        <v>142.45824411134905</v>
      </c>
      <c r="C3" s="9"/>
      <c r="D3" s="31"/>
      <c r="E3" s="34"/>
      <c r="F3" s="31"/>
      <c r="G3" s="21"/>
      <c r="H3" s="28"/>
      <c r="I3" s="21"/>
      <c r="J3" s="21"/>
      <c r="K3" s="21"/>
      <c r="L3" s="21"/>
      <c r="M3" s="28"/>
      <c r="N3" s="28"/>
      <c r="O3" s="28"/>
      <c r="P3" s="21"/>
      <c r="Q3" s="21"/>
      <c r="S3" s="31"/>
      <c r="T3" s="34"/>
      <c r="U3" s="31"/>
      <c r="V3" s="21"/>
      <c r="W3" s="28"/>
      <c r="X3" s="21"/>
      <c r="Y3" s="21"/>
      <c r="Z3" s="21"/>
      <c r="AA3" s="21"/>
      <c r="AB3" s="28"/>
      <c r="AC3" s="28"/>
      <c r="AD3" s="28"/>
      <c r="AE3" s="21"/>
      <c r="AF3" s="21"/>
    </row>
    <row r="4" spans="1:32" x14ac:dyDescent="0.3">
      <c r="A4" s="2">
        <v>136.01199400299851</v>
      </c>
      <c r="B4" s="9">
        <f t="shared" si="0"/>
        <v>149.61319340329837</v>
      </c>
      <c r="C4" s="9"/>
      <c r="D4" s="22">
        <v>4</v>
      </c>
      <c r="E4" s="22" t="s">
        <v>86</v>
      </c>
      <c r="F4" s="25">
        <v>45699</v>
      </c>
      <c r="G4" s="1">
        <v>0.25</v>
      </c>
      <c r="H4" s="1">
        <v>2.14</v>
      </c>
      <c r="I4" s="1">
        <v>6</v>
      </c>
      <c r="J4" s="1">
        <v>0.2</v>
      </c>
      <c r="K4" s="1">
        <v>0.26</v>
      </c>
      <c r="L4" s="1">
        <v>4.5599999999999996</v>
      </c>
      <c r="M4" s="22">
        <f>SUM(G4:L4)</f>
        <v>13.41</v>
      </c>
      <c r="N4" s="22">
        <f>SUM(G5:L5)</f>
        <v>13.740000000000002</v>
      </c>
      <c r="O4" s="22">
        <f>SUM(G6:L6)</f>
        <v>13.65</v>
      </c>
      <c r="P4" s="20">
        <f>(M4+N4+O4)/3</f>
        <v>13.600000000000001</v>
      </c>
      <c r="Q4" s="20">
        <f>60/P4*45</f>
        <v>198.52941176470586</v>
      </c>
      <c r="S4" s="22">
        <v>4</v>
      </c>
      <c r="T4" s="22" t="s">
        <v>86</v>
      </c>
      <c r="U4" s="25">
        <v>45699</v>
      </c>
      <c r="V4" s="1">
        <v>0.25</v>
      </c>
      <c r="W4" s="1">
        <v>2.2999999999999998</v>
      </c>
      <c r="X4" s="1">
        <v>6</v>
      </c>
      <c r="Y4" s="1">
        <v>0.22</v>
      </c>
      <c r="Z4" s="1">
        <v>0.3</v>
      </c>
      <c r="AA4" s="1">
        <v>5.5</v>
      </c>
      <c r="AB4" s="22">
        <f>SUM(V4:AA4)</f>
        <v>14.570000000000002</v>
      </c>
      <c r="AC4" s="22">
        <f>SUM(V5:AA5)</f>
        <v>15.17</v>
      </c>
      <c r="AD4" s="22">
        <f>SUM(V6:AA6)</f>
        <v>15.21</v>
      </c>
      <c r="AE4" s="20">
        <f>(AB4+AC4+AD4)/3</f>
        <v>14.983333333333334</v>
      </c>
      <c r="AF4" s="20">
        <f>60/AE4*45</f>
        <v>180.20022246941045</v>
      </c>
    </row>
    <row r="5" spans="1:32" x14ac:dyDescent="0.3">
      <c r="A5" s="2">
        <v>134.20118343195267</v>
      </c>
      <c r="B5" s="9">
        <f t="shared" si="0"/>
        <v>147.62130177514794</v>
      </c>
      <c r="C5" s="9"/>
      <c r="D5" s="23"/>
      <c r="E5" s="23"/>
      <c r="F5" s="26"/>
      <c r="G5" s="1">
        <v>0.2</v>
      </c>
      <c r="H5" s="1">
        <v>2.16</v>
      </c>
      <c r="I5" s="1">
        <v>5.7</v>
      </c>
      <c r="J5" s="1">
        <v>0.25</v>
      </c>
      <c r="K5" s="1">
        <v>0.23</v>
      </c>
      <c r="L5" s="1">
        <v>5.2</v>
      </c>
      <c r="M5" s="23"/>
      <c r="N5" s="23"/>
      <c r="O5" s="23"/>
      <c r="P5" s="20"/>
      <c r="Q5" s="20"/>
      <c r="S5" s="23"/>
      <c r="T5" s="23"/>
      <c r="U5" s="26"/>
      <c r="V5" s="1">
        <v>0.23</v>
      </c>
      <c r="W5" s="1">
        <v>2.34</v>
      </c>
      <c r="X5" s="1">
        <v>6</v>
      </c>
      <c r="Y5" s="1">
        <v>0.25</v>
      </c>
      <c r="Z5" s="1">
        <v>0.35</v>
      </c>
      <c r="AA5" s="1">
        <v>6</v>
      </c>
      <c r="AB5" s="23"/>
      <c r="AC5" s="23"/>
      <c r="AD5" s="23"/>
      <c r="AE5" s="20"/>
      <c r="AF5" s="20"/>
    </row>
    <row r="6" spans="1:32" x14ac:dyDescent="0.3">
      <c r="A6" s="2">
        <v>124.35915010281015</v>
      </c>
      <c r="B6" s="9">
        <f t="shared" si="0"/>
        <v>136.79506511309117</v>
      </c>
      <c r="C6" s="9"/>
      <c r="D6" s="24"/>
      <c r="E6" s="24"/>
      <c r="F6" s="27"/>
      <c r="G6" s="1">
        <v>0.18</v>
      </c>
      <c r="H6" s="1">
        <v>2.2000000000000002</v>
      </c>
      <c r="I6" s="1">
        <v>5.6</v>
      </c>
      <c r="J6" s="1">
        <v>0.27</v>
      </c>
      <c r="K6" s="1">
        <v>0.3</v>
      </c>
      <c r="L6" s="1">
        <v>5.0999999999999996</v>
      </c>
      <c r="M6" s="24"/>
      <c r="N6" s="24"/>
      <c r="O6" s="24"/>
      <c r="P6" s="20"/>
      <c r="Q6" s="20"/>
      <c r="S6" s="24"/>
      <c r="T6" s="24"/>
      <c r="U6" s="27"/>
      <c r="V6" s="1">
        <v>0.25</v>
      </c>
      <c r="W6" s="1">
        <v>2.27</v>
      </c>
      <c r="X6" s="1">
        <v>6.2</v>
      </c>
      <c r="Y6" s="1">
        <v>0.34</v>
      </c>
      <c r="Z6" s="1">
        <v>0.35</v>
      </c>
      <c r="AA6" s="1">
        <v>5.8</v>
      </c>
      <c r="AB6" s="24"/>
      <c r="AC6" s="24"/>
      <c r="AD6" s="24"/>
      <c r="AE6" s="20"/>
      <c r="AF6" s="20"/>
    </row>
    <row r="7" spans="1:32" x14ac:dyDescent="0.3">
      <c r="A7" s="2">
        <v>135.40298507462688</v>
      </c>
      <c r="B7" s="9">
        <f t="shared" si="0"/>
        <v>148.94328358208958</v>
      </c>
      <c r="C7" s="9"/>
      <c r="D7" s="22">
        <v>1</v>
      </c>
      <c r="E7" s="22" t="s">
        <v>83</v>
      </c>
      <c r="F7" s="25">
        <v>45693</v>
      </c>
      <c r="G7" s="1">
        <v>0.15</v>
      </c>
      <c r="H7" s="1">
        <v>2.29</v>
      </c>
      <c r="I7" s="1">
        <v>6.22</v>
      </c>
      <c r="J7" s="1">
        <v>0.25</v>
      </c>
      <c r="K7" s="1">
        <v>0.3</v>
      </c>
      <c r="L7" s="1">
        <v>5.0999999999999996</v>
      </c>
      <c r="M7" s="22">
        <f>SUM(G7:L7)</f>
        <v>14.31</v>
      </c>
      <c r="N7" s="22">
        <f>SUM(G8:L8)</f>
        <v>13.530000000000001</v>
      </c>
      <c r="O7" s="22">
        <f>SUM(G9:L9)</f>
        <v>14.19</v>
      </c>
      <c r="P7" s="20">
        <f>(M7+N7+O7)/3</f>
        <v>14.01</v>
      </c>
      <c r="Q7" s="20">
        <f>60/P7*45</f>
        <v>192.71948608137046</v>
      </c>
      <c r="S7" s="22">
        <v>1</v>
      </c>
      <c r="T7" s="22" t="s">
        <v>83</v>
      </c>
      <c r="U7" s="25">
        <v>45693</v>
      </c>
      <c r="V7" s="1">
        <v>0.2</v>
      </c>
      <c r="W7" s="1">
        <v>2.4</v>
      </c>
      <c r="X7" s="1">
        <v>7</v>
      </c>
      <c r="Y7" s="1">
        <v>0.35</v>
      </c>
      <c r="Z7" s="1">
        <v>0.4</v>
      </c>
      <c r="AA7" s="1">
        <v>5.5</v>
      </c>
      <c r="AB7" s="22">
        <f>SUM(V7:AA7)</f>
        <v>15.85</v>
      </c>
      <c r="AC7" s="22">
        <f>SUM(V8:AA8)</f>
        <v>15.129999999999999</v>
      </c>
      <c r="AD7" s="22">
        <f>SUM(V9:AA9)</f>
        <v>14.75</v>
      </c>
      <c r="AE7" s="20">
        <f>(AB7+AC7+AD7)/3</f>
        <v>15.243333333333332</v>
      </c>
      <c r="AF7" s="20">
        <f>60/AE7*45</f>
        <v>177.12661272687515</v>
      </c>
    </row>
    <row r="8" spans="1:32" x14ac:dyDescent="0.3">
      <c r="A8" s="2">
        <v>131.66908563134979</v>
      </c>
      <c r="B8" s="9">
        <f t="shared" si="0"/>
        <v>144.83599419448475</v>
      </c>
      <c r="C8" s="9"/>
      <c r="D8" s="23"/>
      <c r="E8" s="23"/>
      <c r="F8" s="26"/>
      <c r="G8" s="1">
        <v>0.16</v>
      </c>
      <c r="H8" s="1">
        <v>2.2999999999999998</v>
      </c>
      <c r="I8" s="1">
        <v>5.44</v>
      </c>
      <c r="J8" s="1">
        <v>0.21</v>
      </c>
      <c r="K8" s="1">
        <v>0.2</v>
      </c>
      <c r="L8" s="1">
        <v>5.22</v>
      </c>
      <c r="M8" s="23"/>
      <c r="N8" s="23"/>
      <c r="O8" s="23"/>
      <c r="P8" s="20"/>
      <c r="Q8" s="20"/>
      <c r="S8" s="23"/>
      <c r="T8" s="23"/>
      <c r="U8" s="26"/>
      <c r="V8" s="1">
        <v>0.2</v>
      </c>
      <c r="W8" s="1">
        <v>2.4</v>
      </c>
      <c r="X8" s="1">
        <v>6</v>
      </c>
      <c r="Y8" s="1">
        <v>0.25</v>
      </c>
      <c r="Z8" s="1">
        <v>0.28000000000000003</v>
      </c>
      <c r="AA8" s="1">
        <v>6</v>
      </c>
      <c r="AB8" s="23"/>
      <c r="AC8" s="23"/>
      <c r="AD8" s="23"/>
      <c r="AE8" s="20"/>
      <c r="AF8" s="20"/>
    </row>
    <row r="9" spans="1:32" x14ac:dyDescent="0.3">
      <c r="A9" s="2">
        <v>129.50749464668095</v>
      </c>
      <c r="B9" s="9">
        <f t="shared" si="0"/>
        <v>142.45824411134905</v>
      </c>
      <c r="C9" s="9"/>
      <c r="D9" s="24"/>
      <c r="E9" s="24"/>
      <c r="F9" s="27"/>
      <c r="G9" s="1">
        <v>0.11</v>
      </c>
      <c r="H9" s="1">
        <v>2.38</v>
      </c>
      <c r="I9" s="1">
        <v>6</v>
      </c>
      <c r="J9" s="1">
        <v>0.2</v>
      </c>
      <c r="K9" s="1">
        <v>0.25</v>
      </c>
      <c r="L9" s="1">
        <v>5.25</v>
      </c>
      <c r="M9" s="24"/>
      <c r="N9" s="24"/>
      <c r="O9" s="24"/>
      <c r="P9" s="20"/>
      <c r="Q9" s="20"/>
      <c r="S9" s="24"/>
      <c r="T9" s="24"/>
      <c r="U9" s="27"/>
      <c r="V9" s="1">
        <v>0.15</v>
      </c>
      <c r="W9" s="1">
        <v>2.4500000000000002</v>
      </c>
      <c r="X9" s="1">
        <v>6.3</v>
      </c>
      <c r="Y9" s="1">
        <v>0.25</v>
      </c>
      <c r="Z9" s="1">
        <v>0.3</v>
      </c>
      <c r="AA9" s="1">
        <v>5.3</v>
      </c>
      <c r="AB9" s="24"/>
      <c r="AC9" s="24"/>
      <c r="AD9" s="24"/>
      <c r="AE9" s="20"/>
      <c r="AF9" s="20"/>
    </row>
    <row r="10" spans="1:32" x14ac:dyDescent="0.3">
      <c r="A10" s="2">
        <v>130.81470800288395</v>
      </c>
      <c r="B10" s="9">
        <f t="shared" si="0"/>
        <v>143.89617880317235</v>
      </c>
      <c r="C10" s="9"/>
      <c r="D10" s="22">
        <v>7</v>
      </c>
      <c r="E10" s="22" t="s">
        <v>89</v>
      </c>
      <c r="F10" s="25">
        <v>45701</v>
      </c>
      <c r="G10" s="1">
        <v>0.2</v>
      </c>
      <c r="H10" s="1">
        <v>1.54</v>
      </c>
      <c r="I10" s="1">
        <v>5</v>
      </c>
      <c r="J10" s="1">
        <v>0.45</v>
      </c>
      <c r="K10" s="1">
        <v>0.3</v>
      </c>
      <c r="L10" s="1">
        <v>5</v>
      </c>
      <c r="M10" s="22">
        <f>SUM(G10:L10)</f>
        <v>12.49</v>
      </c>
      <c r="N10" s="22">
        <f>SUM(G11:L11)</f>
        <v>13.02</v>
      </c>
      <c r="O10" s="22">
        <f>SUM(G12:L12)</f>
        <v>14.51</v>
      </c>
      <c r="P10" s="20">
        <f>(M10+N10+O10)/3</f>
        <v>13.339999999999998</v>
      </c>
      <c r="Q10" s="20">
        <f>60/P10*45</f>
        <v>202.39880059970019</v>
      </c>
      <c r="S10" s="22">
        <v>7</v>
      </c>
      <c r="T10" s="22" t="s">
        <v>89</v>
      </c>
      <c r="U10" s="25">
        <v>45701</v>
      </c>
      <c r="V10" s="1">
        <v>0.22</v>
      </c>
      <c r="W10" s="1">
        <v>2.25</v>
      </c>
      <c r="X10" s="1">
        <v>5.32</v>
      </c>
      <c r="Y10" s="1">
        <v>0.45</v>
      </c>
      <c r="Z10" s="1">
        <v>0.33</v>
      </c>
      <c r="AA10" s="1">
        <v>5.6</v>
      </c>
      <c r="AB10" s="22">
        <f>SUM(V10:AA10)</f>
        <v>14.17</v>
      </c>
      <c r="AC10" s="22">
        <f>SUM(V11:AA11)</f>
        <v>13.739999999999998</v>
      </c>
      <c r="AD10" s="22">
        <f>SUM(V12:AA12)</f>
        <v>14.629999999999999</v>
      </c>
      <c r="AE10" s="20">
        <f>(AB10+AC10+AD10)/3</f>
        <v>14.179999999999998</v>
      </c>
      <c r="AF10" s="20">
        <f>60/AE10*45</f>
        <v>190.40902679830751</v>
      </c>
    </row>
    <row r="11" spans="1:32" ht="28" customHeight="1" x14ac:dyDescent="0.3">
      <c r="A11" s="2">
        <v>115.71428571428574</v>
      </c>
      <c r="B11" s="9">
        <f t="shared" si="0"/>
        <v>127.28571428571431</v>
      </c>
      <c r="C11" s="9"/>
      <c r="D11" s="23"/>
      <c r="E11" s="23"/>
      <c r="F11" s="26"/>
      <c r="G11" s="1">
        <v>0.2</v>
      </c>
      <c r="H11" s="1">
        <v>2</v>
      </c>
      <c r="I11" s="1">
        <v>5</v>
      </c>
      <c r="J11" s="1">
        <v>0.28000000000000003</v>
      </c>
      <c r="K11" s="1">
        <v>0.28999999999999998</v>
      </c>
      <c r="L11" s="1">
        <v>5.25</v>
      </c>
      <c r="M11" s="23"/>
      <c r="N11" s="23"/>
      <c r="O11" s="23"/>
      <c r="P11" s="20"/>
      <c r="Q11" s="20"/>
      <c r="S11" s="23"/>
      <c r="T11" s="23"/>
      <c r="U11" s="26"/>
      <c r="V11" s="1">
        <v>0.24</v>
      </c>
      <c r="W11" s="1">
        <v>2.27</v>
      </c>
      <c r="X11" s="1">
        <v>5.3</v>
      </c>
      <c r="Y11" s="1">
        <v>0.31</v>
      </c>
      <c r="Z11" s="1">
        <v>0.32</v>
      </c>
      <c r="AA11" s="1">
        <v>5.3</v>
      </c>
      <c r="AB11" s="23"/>
      <c r="AC11" s="23"/>
      <c r="AD11" s="23"/>
      <c r="AE11" s="20"/>
      <c r="AF11" s="20"/>
    </row>
    <row r="12" spans="1:32" x14ac:dyDescent="0.3">
      <c r="A12" s="2">
        <v>136.11402850712679</v>
      </c>
      <c r="B12" s="9">
        <f t="shared" si="0"/>
        <v>149.72543135783945</v>
      </c>
      <c r="C12" s="9"/>
      <c r="D12" s="24"/>
      <c r="E12" s="24"/>
      <c r="F12" s="27"/>
      <c r="G12" s="1">
        <v>0.15</v>
      </c>
      <c r="H12" s="1">
        <v>2.34</v>
      </c>
      <c r="I12" s="1">
        <v>6</v>
      </c>
      <c r="J12" s="1">
        <v>0.25</v>
      </c>
      <c r="K12" s="1">
        <v>0.28000000000000003</v>
      </c>
      <c r="L12" s="1">
        <v>5.49</v>
      </c>
      <c r="M12" s="24"/>
      <c r="N12" s="24"/>
      <c r="O12" s="24"/>
      <c r="P12" s="20"/>
      <c r="Q12" s="20"/>
      <c r="S12" s="24"/>
      <c r="T12" s="24"/>
      <c r="U12" s="27"/>
      <c r="V12" s="1">
        <v>0.2</v>
      </c>
      <c r="W12" s="1">
        <v>2.34</v>
      </c>
      <c r="X12" s="1">
        <v>6</v>
      </c>
      <c r="Y12" s="1">
        <v>0.28000000000000003</v>
      </c>
      <c r="Z12" s="1">
        <v>0.31</v>
      </c>
      <c r="AA12" s="1">
        <v>5.5</v>
      </c>
      <c r="AB12" s="24"/>
      <c r="AC12" s="24"/>
      <c r="AD12" s="24"/>
      <c r="AE12" s="20"/>
      <c r="AF12" s="20"/>
    </row>
    <row r="13" spans="1:32" x14ac:dyDescent="0.3">
      <c r="A13" s="2">
        <v>114.11320754716981</v>
      </c>
      <c r="B13" s="9">
        <f t="shared" si="0"/>
        <v>125.52452830188679</v>
      </c>
      <c r="C13" s="9"/>
      <c r="D13" s="22">
        <v>3</v>
      </c>
      <c r="E13" s="22" t="s">
        <v>85</v>
      </c>
      <c r="F13" s="25">
        <v>45696</v>
      </c>
      <c r="G13" s="1">
        <v>0.16</v>
      </c>
      <c r="H13" s="1">
        <v>2.0099999999999998</v>
      </c>
      <c r="I13" s="1">
        <v>5.26</v>
      </c>
      <c r="J13" s="1">
        <v>0.28000000000000003</v>
      </c>
      <c r="K13" s="1">
        <v>0.3</v>
      </c>
      <c r="L13" s="1">
        <v>5.0999999999999996</v>
      </c>
      <c r="M13" s="22">
        <f>SUM(G13:L13)</f>
        <v>13.11</v>
      </c>
      <c r="N13" s="22">
        <f>SUM(G14:L14)</f>
        <v>13.14</v>
      </c>
      <c r="O13" s="22">
        <f>SUM(G15:L15)</f>
        <v>14.32</v>
      </c>
      <c r="P13" s="20">
        <f>(M13+N13+O13)/3</f>
        <v>13.523333333333333</v>
      </c>
      <c r="Q13" s="20">
        <f>60/P13*45</f>
        <v>199.65491742666993</v>
      </c>
      <c r="S13" s="22">
        <v>3</v>
      </c>
      <c r="T13" s="22" t="s">
        <v>85</v>
      </c>
      <c r="U13" s="25">
        <v>45696</v>
      </c>
      <c r="V13" s="1">
        <v>0.18</v>
      </c>
      <c r="W13" s="1">
        <v>2.29</v>
      </c>
      <c r="X13" s="1">
        <v>5.26</v>
      </c>
      <c r="Y13" s="1">
        <v>0.28000000000000003</v>
      </c>
      <c r="Z13" s="1">
        <v>0.3</v>
      </c>
      <c r="AA13" s="1">
        <v>5.4</v>
      </c>
      <c r="AB13" s="22">
        <f>SUM(V13:AA13)</f>
        <v>13.71</v>
      </c>
      <c r="AC13" s="22">
        <f>SUM(V14:AA14)</f>
        <v>13.989999999999998</v>
      </c>
      <c r="AD13" s="22">
        <f>SUM(V15:AA15)</f>
        <v>15.09</v>
      </c>
      <c r="AE13" s="20">
        <f>(AB13+AC13+AD13)/3</f>
        <v>14.263333333333334</v>
      </c>
      <c r="AF13" s="20">
        <f>60/AE13*45</f>
        <v>189.29656461790137</v>
      </c>
    </row>
    <row r="14" spans="1:32" x14ac:dyDescent="0.3">
      <c r="A14" s="9"/>
      <c r="B14" s="9"/>
      <c r="C14" s="9"/>
      <c r="D14" s="23"/>
      <c r="E14" s="23"/>
      <c r="F14" s="26"/>
      <c r="G14" s="1">
        <v>0.16</v>
      </c>
      <c r="H14" s="1">
        <v>2.15</v>
      </c>
      <c r="I14" s="1">
        <v>5.07</v>
      </c>
      <c r="J14" s="1">
        <v>0.43</v>
      </c>
      <c r="K14" s="1">
        <v>0.33</v>
      </c>
      <c r="L14" s="1">
        <v>5</v>
      </c>
      <c r="M14" s="23"/>
      <c r="N14" s="23"/>
      <c r="O14" s="23"/>
      <c r="P14" s="20"/>
      <c r="Q14" s="20"/>
      <c r="S14" s="23"/>
      <c r="T14" s="23"/>
      <c r="U14" s="26"/>
      <c r="V14" s="1">
        <v>0.2</v>
      </c>
      <c r="W14" s="1">
        <v>2.34</v>
      </c>
      <c r="X14" s="1">
        <v>5.5</v>
      </c>
      <c r="Y14" s="1">
        <v>0.3</v>
      </c>
      <c r="Z14" s="1">
        <v>0.35</v>
      </c>
      <c r="AA14" s="1">
        <v>5.3</v>
      </c>
      <c r="AB14" s="23"/>
      <c r="AC14" s="23"/>
      <c r="AD14" s="23"/>
      <c r="AE14" s="20"/>
      <c r="AF14" s="20"/>
    </row>
    <row r="15" spans="1:32" x14ac:dyDescent="0.3">
      <c r="A15" s="9"/>
      <c r="B15" s="9"/>
      <c r="C15" s="9"/>
      <c r="D15" s="24"/>
      <c r="E15" s="24"/>
      <c r="F15" s="27"/>
      <c r="G15" s="1">
        <v>0.33</v>
      </c>
      <c r="H15" s="1">
        <v>2.2400000000000002</v>
      </c>
      <c r="I15" s="1">
        <v>6.2</v>
      </c>
      <c r="J15" s="1">
        <v>0.15</v>
      </c>
      <c r="K15" s="1">
        <v>0.35</v>
      </c>
      <c r="L15" s="1">
        <v>5.05</v>
      </c>
      <c r="M15" s="24"/>
      <c r="N15" s="24"/>
      <c r="O15" s="24"/>
      <c r="P15" s="20"/>
      <c r="Q15" s="20"/>
      <c r="S15" s="24"/>
      <c r="T15" s="24"/>
      <c r="U15" s="27"/>
      <c r="V15" s="1">
        <v>0.24</v>
      </c>
      <c r="W15" s="1">
        <v>2.31</v>
      </c>
      <c r="X15" s="1">
        <v>6.2</v>
      </c>
      <c r="Y15" s="1">
        <v>0.27</v>
      </c>
      <c r="Z15" s="1">
        <v>0.37</v>
      </c>
      <c r="AA15" s="1">
        <v>5.7</v>
      </c>
      <c r="AB15" s="24"/>
      <c r="AC15" s="24"/>
      <c r="AD15" s="24"/>
      <c r="AE15" s="20"/>
      <c r="AF15" s="20"/>
    </row>
    <row r="16" spans="1:32" x14ac:dyDescent="0.3">
      <c r="A16" s="9"/>
      <c r="B16" s="9"/>
      <c r="C16" s="9"/>
      <c r="D16" s="22">
        <v>11</v>
      </c>
      <c r="E16" s="22" t="s">
        <v>93</v>
      </c>
      <c r="F16" s="25">
        <v>45702</v>
      </c>
      <c r="G16" s="1">
        <v>0.12</v>
      </c>
      <c r="H16" s="1">
        <v>2.1800000000000002</v>
      </c>
      <c r="I16" s="1">
        <v>6.55</v>
      </c>
      <c r="J16" s="1">
        <v>1.19</v>
      </c>
      <c r="K16" s="1">
        <v>0.28999999999999998</v>
      </c>
      <c r="L16" s="1">
        <v>5</v>
      </c>
      <c r="M16" s="22">
        <f>SUM(G16:L16)</f>
        <v>15.329999999999998</v>
      </c>
      <c r="N16" s="22">
        <f>SUM(G17:L17)</f>
        <v>14.079999999999998</v>
      </c>
      <c r="O16" s="22">
        <f>SUM(G18:L18)</f>
        <v>14.370000000000001</v>
      </c>
      <c r="P16" s="20">
        <f>(M16+N16+O16)/3</f>
        <v>14.593333333333334</v>
      </c>
      <c r="Q16" s="20">
        <f>60/P16*45</f>
        <v>185.01598903608954</v>
      </c>
      <c r="S16" s="22">
        <v>11</v>
      </c>
      <c r="T16" s="22" t="s">
        <v>93</v>
      </c>
      <c r="U16" s="25">
        <v>45702</v>
      </c>
      <c r="V16" s="1">
        <v>0.2</v>
      </c>
      <c r="W16" s="1">
        <v>2.3199999999999998</v>
      </c>
      <c r="X16" s="1">
        <v>6.55</v>
      </c>
      <c r="Y16" s="1">
        <v>0.32</v>
      </c>
      <c r="Z16" s="1">
        <v>0.32</v>
      </c>
      <c r="AA16" s="1">
        <v>5.6</v>
      </c>
      <c r="AB16" s="22">
        <f>SUM(V16:AA16)</f>
        <v>15.31</v>
      </c>
      <c r="AC16" s="22">
        <f>SUM(V17:AA17)</f>
        <v>15.599999999999998</v>
      </c>
      <c r="AD16" s="22">
        <f>SUM(V18:AA18)</f>
        <v>14.98</v>
      </c>
      <c r="AE16" s="20">
        <f>(AB16+AC16+AD16)/3</f>
        <v>15.296666666666667</v>
      </c>
      <c r="AF16" s="20">
        <f>60/AE16*45</f>
        <v>176.50904336456745</v>
      </c>
    </row>
    <row r="17" spans="1:32" x14ac:dyDescent="0.3">
      <c r="A17" s="9"/>
      <c r="B17" s="9"/>
      <c r="C17" s="9"/>
      <c r="D17" s="23"/>
      <c r="E17" s="23"/>
      <c r="F17" s="26"/>
      <c r="G17" s="1">
        <v>0.3</v>
      </c>
      <c r="H17" s="1">
        <v>2.15</v>
      </c>
      <c r="I17" s="1">
        <v>6.3</v>
      </c>
      <c r="J17" s="1">
        <v>0.45</v>
      </c>
      <c r="K17" s="1">
        <v>0.32</v>
      </c>
      <c r="L17" s="1">
        <v>4.5599999999999996</v>
      </c>
      <c r="M17" s="23"/>
      <c r="N17" s="23"/>
      <c r="O17" s="23"/>
      <c r="P17" s="20"/>
      <c r="Q17" s="20"/>
      <c r="S17" s="23"/>
      <c r="T17" s="23"/>
      <c r="U17" s="26"/>
      <c r="V17" s="1">
        <v>0.23</v>
      </c>
      <c r="W17" s="1">
        <v>2.2799999999999998</v>
      </c>
      <c r="X17" s="1">
        <v>6.5</v>
      </c>
      <c r="Y17" s="1">
        <v>0.45</v>
      </c>
      <c r="Z17" s="1">
        <v>0.34</v>
      </c>
      <c r="AA17" s="1">
        <v>5.8</v>
      </c>
      <c r="AB17" s="23"/>
      <c r="AC17" s="23"/>
      <c r="AD17" s="23"/>
      <c r="AE17" s="20"/>
      <c r="AF17" s="20"/>
    </row>
    <row r="18" spans="1:32" x14ac:dyDescent="0.3">
      <c r="A18" s="9"/>
      <c r="B18" s="9"/>
      <c r="C18" s="9"/>
      <c r="D18" s="24"/>
      <c r="E18" s="24"/>
      <c r="F18" s="27"/>
      <c r="G18" s="1">
        <v>0.23</v>
      </c>
      <c r="H18" s="1">
        <v>2.0299999999999998</v>
      </c>
      <c r="I18" s="1">
        <v>6</v>
      </c>
      <c r="J18" s="1">
        <v>0.52</v>
      </c>
      <c r="K18" s="1">
        <v>0.31</v>
      </c>
      <c r="L18" s="1">
        <v>5.28</v>
      </c>
      <c r="M18" s="24"/>
      <c r="N18" s="24"/>
      <c r="O18" s="24"/>
      <c r="P18" s="20"/>
      <c r="Q18" s="20"/>
      <c r="S18" s="24"/>
      <c r="T18" s="24"/>
      <c r="U18" s="27"/>
      <c r="V18" s="1">
        <v>0.25</v>
      </c>
      <c r="W18" s="1">
        <v>2.29</v>
      </c>
      <c r="X18" s="1">
        <v>6.2</v>
      </c>
      <c r="Y18" s="1">
        <v>0.52</v>
      </c>
      <c r="Z18" s="1">
        <v>0.35</v>
      </c>
      <c r="AA18" s="1">
        <v>5.37</v>
      </c>
      <c r="AB18" s="24"/>
      <c r="AC18" s="24"/>
      <c r="AD18" s="24"/>
      <c r="AE18" s="20"/>
      <c r="AF18" s="20"/>
    </row>
    <row r="19" spans="1:32" x14ac:dyDescent="0.3">
      <c r="A19" s="9"/>
      <c r="B19" s="9"/>
      <c r="C19" s="9"/>
      <c r="D19" s="22">
        <v>12</v>
      </c>
      <c r="E19" s="22" t="s">
        <v>94</v>
      </c>
      <c r="F19" s="25">
        <v>45702</v>
      </c>
      <c r="G19" s="1">
        <v>0.13</v>
      </c>
      <c r="H19" s="1">
        <v>2.3199999999999998</v>
      </c>
      <c r="I19" s="1">
        <v>6.5</v>
      </c>
      <c r="J19" s="1">
        <v>0.3</v>
      </c>
      <c r="K19" s="1">
        <v>0.31</v>
      </c>
      <c r="L19" s="1">
        <v>5.07</v>
      </c>
      <c r="M19" s="22">
        <f>SUM(G19:L19)</f>
        <v>14.63</v>
      </c>
      <c r="N19" s="22">
        <f>SUM(G20:L20)</f>
        <v>12.709999999999997</v>
      </c>
      <c r="O19" s="22">
        <f>SUM(G21:L21)</f>
        <v>12.21</v>
      </c>
      <c r="P19" s="20">
        <f>(M19+N19+O19)/3</f>
        <v>13.183333333333332</v>
      </c>
      <c r="Q19" s="20">
        <f>60/P19*45</f>
        <v>204.80404551201013</v>
      </c>
      <c r="S19" s="22">
        <v>12</v>
      </c>
      <c r="T19" s="22" t="s">
        <v>94</v>
      </c>
      <c r="U19" s="25">
        <v>45702</v>
      </c>
      <c r="V19" s="1">
        <v>0.27</v>
      </c>
      <c r="W19" s="1">
        <v>2.34</v>
      </c>
      <c r="X19" s="1">
        <v>7.02</v>
      </c>
      <c r="Y19" s="1">
        <v>0.35</v>
      </c>
      <c r="Z19" s="1">
        <v>0.34</v>
      </c>
      <c r="AA19" s="1">
        <v>5.37</v>
      </c>
      <c r="AB19" s="22">
        <f>SUM(V19:AA19)</f>
        <v>15.689999999999998</v>
      </c>
      <c r="AC19" s="22">
        <f>SUM(V20:AA20)</f>
        <v>14.72</v>
      </c>
      <c r="AD19" s="22">
        <f>SUM(V21:AA21)</f>
        <v>14.88</v>
      </c>
      <c r="AE19" s="20">
        <f>(AB19+AC19+AD19)/3</f>
        <v>15.096666666666666</v>
      </c>
      <c r="AF19" s="20">
        <f>60/AE19*45</f>
        <v>178.84742768823142</v>
      </c>
    </row>
    <row r="20" spans="1:32" x14ac:dyDescent="0.3">
      <c r="C20" s="9"/>
      <c r="D20" s="23"/>
      <c r="E20" s="23"/>
      <c r="F20" s="26"/>
      <c r="G20" s="1">
        <v>0.19</v>
      </c>
      <c r="H20" s="1">
        <v>2.2999999999999998</v>
      </c>
      <c r="I20" s="1">
        <v>5.36</v>
      </c>
      <c r="J20" s="1">
        <v>0.27</v>
      </c>
      <c r="K20" s="1">
        <v>0.28999999999999998</v>
      </c>
      <c r="L20" s="1">
        <v>4.3</v>
      </c>
      <c r="M20" s="23"/>
      <c r="N20" s="23"/>
      <c r="O20" s="23"/>
      <c r="P20" s="20"/>
      <c r="Q20" s="20"/>
      <c r="S20" s="23"/>
      <c r="T20" s="23"/>
      <c r="U20" s="26"/>
      <c r="V20" s="1">
        <v>0.26</v>
      </c>
      <c r="W20" s="1">
        <v>2.38</v>
      </c>
      <c r="X20" s="1">
        <v>6</v>
      </c>
      <c r="Y20" s="1">
        <v>0.33</v>
      </c>
      <c r="Z20" s="1">
        <v>0.35</v>
      </c>
      <c r="AA20" s="1">
        <v>5.4</v>
      </c>
      <c r="AB20" s="23"/>
      <c r="AC20" s="23"/>
      <c r="AD20" s="23"/>
      <c r="AE20" s="20"/>
      <c r="AF20" s="20"/>
    </row>
    <row r="21" spans="1:32" x14ac:dyDescent="0.3">
      <c r="D21" s="24"/>
      <c r="E21" s="24"/>
      <c r="F21" s="27"/>
      <c r="G21" s="1">
        <v>0.2</v>
      </c>
      <c r="H21" s="1">
        <v>2</v>
      </c>
      <c r="I21" s="1">
        <v>5.0199999999999996</v>
      </c>
      <c r="J21" s="1">
        <v>0.3</v>
      </c>
      <c r="K21" s="1">
        <v>0.24</v>
      </c>
      <c r="L21" s="1">
        <v>4.45</v>
      </c>
      <c r="M21" s="24"/>
      <c r="N21" s="24"/>
      <c r="O21" s="24"/>
      <c r="P21" s="20"/>
      <c r="Q21" s="20"/>
      <c r="S21" s="24"/>
      <c r="T21" s="24"/>
      <c r="U21" s="27"/>
      <c r="V21" s="1">
        <v>0.25</v>
      </c>
      <c r="W21" s="1">
        <v>2.35</v>
      </c>
      <c r="X21" s="1">
        <v>5.5</v>
      </c>
      <c r="Y21" s="1">
        <v>0.4</v>
      </c>
      <c r="Z21" s="1">
        <v>0.38</v>
      </c>
      <c r="AA21" s="1">
        <v>6</v>
      </c>
      <c r="AB21" s="24"/>
      <c r="AC21" s="24"/>
      <c r="AD21" s="24"/>
      <c r="AE21" s="20"/>
      <c r="AF21" s="20"/>
    </row>
    <row r="22" spans="1:32" x14ac:dyDescent="0.3">
      <c r="D22" s="22">
        <v>2</v>
      </c>
      <c r="E22" s="22" t="s">
        <v>84</v>
      </c>
      <c r="F22" s="25">
        <v>45695</v>
      </c>
      <c r="G22" s="1">
        <v>0.22</v>
      </c>
      <c r="H22" s="1">
        <v>2.1</v>
      </c>
      <c r="I22" s="1">
        <v>6</v>
      </c>
      <c r="J22" s="1">
        <v>0.25</v>
      </c>
      <c r="K22" s="1">
        <v>0.3</v>
      </c>
      <c r="L22" s="1">
        <v>5.55</v>
      </c>
      <c r="M22" s="22">
        <f>SUM(G22:L22)</f>
        <v>14.420000000000002</v>
      </c>
      <c r="N22" s="22">
        <f>SUM(G23:L23)</f>
        <v>13.89</v>
      </c>
      <c r="O22" s="22">
        <f>SUM(G24:L24)</f>
        <v>13.030000000000001</v>
      </c>
      <c r="P22" s="20">
        <f>(M22+N22+O22)/3</f>
        <v>13.780000000000001</v>
      </c>
      <c r="Q22" s="20">
        <f>60/P22*45</f>
        <v>195.93613933236574</v>
      </c>
      <c r="S22" s="22">
        <v>2</v>
      </c>
      <c r="T22" s="22" t="s">
        <v>84</v>
      </c>
      <c r="U22" s="25">
        <v>45695</v>
      </c>
      <c r="V22" s="1">
        <v>0.25</v>
      </c>
      <c r="W22" s="1">
        <v>2.4</v>
      </c>
      <c r="X22" s="1">
        <v>6.2</v>
      </c>
      <c r="Y22" s="1">
        <v>0.27</v>
      </c>
      <c r="Z22" s="1">
        <v>0.36</v>
      </c>
      <c r="AA22" s="1">
        <v>6</v>
      </c>
      <c r="AB22" s="22">
        <f>SUM(V22:AA22)</f>
        <v>15.479999999999999</v>
      </c>
      <c r="AC22" s="22">
        <f>SUM(V23:AA23)</f>
        <v>14.95</v>
      </c>
      <c r="AD22" s="22">
        <f>SUM(V24:AA24)</f>
        <v>14.01</v>
      </c>
      <c r="AE22" s="20">
        <f>(AB22+AC22+AD22)/3</f>
        <v>14.813333333333333</v>
      </c>
      <c r="AF22" s="20">
        <f>60/AE22*45</f>
        <v>182.26822682268227</v>
      </c>
    </row>
    <row r="23" spans="1:32" x14ac:dyDescent="0.3">
      <c r="D23" s="23"/>
      <c r="E23" s="23"/>
      <c r="F23" s="26"/>
      <c r="G23" s="1">
        <v>0.16</v>
      </c>
      <c r="H23" s="1">
        <v>2.15</v>
      </c>
      <c r="I23" s="1">
        <v>5.5</v>
      </c>
      <c r="J23" s="1">
        <v>0.26</v>
      </c>
      <c r="K23" s="1">
        <v>0.32</v>
      </c>
      <c r="L23" s="1">
        <v>5.5</v>
      </c>
      <c r="M23" s="23"/>
      <c r="N23" s="23"/>
      <c r="O23" s="23"/>
      <c r="P23" s="20"/>
      <c r="Q23" s="20"/>
      <c r="S23" s="23"/>
      <c r="T23" s="23"/>
      <c r="U23" s="26"/>
      <c r="V23" s="1">
        <v>0.2</v>
      </c>
      <c r="W23" s="1">
        <v>2.35</v>
      </c>
      <c r="X23" s="1">
        <v>6</v>
      </c>
      <c r="Y23" s="1">
        <v>0.26</v>
      </c>
      <c r="Z23" s="1">
        <v>0.34</v>
      </c>
      <c r="AA23" s="1">
        <v>5.8</v>
      </c>
      <c r="AB23" s="23"/>
      <c r="AC23" s="23"/>
      <c r="AD23" s="23"/>
      <c r="AE23" s="20"/>
      <c r="AF23" s="20"/>
    </row>
    <row r="24" spans="1:32" x14ac:dyDescent="0.3">
      <c r="D24" s="24"/>
      <c r="E24" s="24"/>
      <c r="F24" s="27"/>
      <c r="G24" s="1">
        <v>0.18</v>
      </c>
      <c r="H24" s="1">
        <v>2</v>
      </c>
      <c r="I24" s="1">
        <v>5.2</v>
      </c>
      <c r="J24" s="1">
        <v>0.28999999999999998</v>
      </c>
      <c r="K24" s="1">
        <v>0.36</v>
      </c>
      <c r="L24" s="1">
        <v>5</v>
      </c>
      <c r="M24" s="24"/>
      <c r="N24" s="24"/>
      <c r="O24" s="24"/>
      <c r="P24" s="20"/>
      <c r="Q24" s="20"/>
      <c r="S24" s="24"/>
      <c r="T24" s="24"/>
      <c r="U24" s="27"/>
      <c r="V24" s="1">
        <v>0.22</v>
      </c>
      <c r="W24" s="1">
        <v>2.33</v>
      </c>
      <c r="X24" s="1">
        <v>5.8</v>
      </c>
      <c r="Y24" s="1">
        <v>0.3</v>
      </c>
      <c r="Z24" s="1">
        <v>0.36</v>
      </c>
      <c r="AA24" s="1">
        <v>5</v>
      </c>
      <c r="AB24" s="24"/>
      <c r="AC24" s="24"/>
      <c r="AD24" s="24"/>
      <c r="AE24" s="20"/>
      <c r="AF24" s="20"/>
    </row>
    <row r="25" spans="1:32" x14ac:dyDescent="0.3">
      <c r="D25" s="22">
        <v>6</v>
      </c>
      <c r="E25" s="22" t="s">
        <v>88</v>
      </c>
      <c r="F25" s="25">
        <v>45701</v>
      </c>
      <c r="G25" s="1">
        <v>0.18</v>
      </c>
      <c r="H25" s="1">
        <v>2.2200000000000002</v>
      </c>
      <c r="I25" s="1">
        <v>6</v>
      </c>
      <c r="J25" s="1">
        <v>0.24</v>
      </c>
      <c r="K25" s="1">
        <v>0.32</v>
      </c>
      <c r="L25" s="1">
        <v>5.52</v>
      </c>
      <c r="M25" s="22">
        <f>SUM(G25:L25)</f>
        <v>14.48</v>
      </c>
      <c r="N25" s="22">
        <f>SUM(G26:L26)</f>
        <v>13.489999999999998</v>
      </c>
      <c r="O25" s="22">
        <f>SUM(G27:L27)</f>
        <v>14.059999999999999</v>
      </c>
      <c r="P25" s="20">
        <f>(M25+N25+O25)/3</f>
        <v>14.01</v>
      </c>
      <c r="Q25" s="20">
        <f>60/P25*45</f>
        <v>192.71948608137046</v>
      </c>
      <c r="S25" s="22">
        <v>6</v>
      </c>
      <c r="T25" s="22" t="s">
        <v>88</v>
      </c>
      <c r="U25" s="25">
        <v>45701</v>
      </c>
      <c r="V25" s="1">
        <v>0.23</v>
      </c>
      <c r="W25" s="1">
        <v>2.36</v>
      </c>
      <c r="X25" s="1">
        <v>6.2</v>
      </c>
      <c r="Y25" s="1">
        <v>0.33</v>
      </c>
      <c r="Z25" s="1">
        <v>0.36</v>
      </c>
      <c r="AA25" s="1">
        <v>5.58</v>
      </c>
      <c r="AB25" s="22">
        <f>SUM(V25:AA25)</f>
        <v>15.059999999999999</v>
      </c>
      <c r="AC25" s="22">
        <f>SUM(V26:AA26)</f>
        <v>14.47</v>
      </c>
      <c r="AD25" s="22">
        <f>SUM(V27:AA27)</f>
        <v>14.370000000000001</v>
      </c>
      <c r="AE25" s="20">
        <f>(AB25+AC25+AD25)/3</f>
        <v>14.633333333333335</v>
      </c>
      <c r="AF25" s="20">
        <f>60/AE25*45</f>
        <v>184.51025056947606</v>
      </c>
    </row>
    <row r="26" spans="1:32" x14ac:dyDescent="0.3">
      <c r="D26" s="23"/>
      <c r="E26" s="23"/>
      <c r="F26" s="26"/>
      <c r="G26" s="1">
        <v>0.17</v>
      </c>
      <c r="H26" s="1">
        <v>2</v>
      </c>
      <c r="I26" s="1">
        <v>5.38</v>
      </c>
      <c r="J26" s="1">
        <v>0.25</v>
      </c>
      <c r="K26" s="1">
        <v>0.39</v>
      </c>
      <c r="L26" s="1">
        <v>5.3</v>
      </c>
      <c r="M26" s="23"/>
      <c r="N26" s="23"/>
      <c r="O26" s="23"/>
      <c r="P26" s="20"/>
      <c r="Q26" s="20"/>
      <c r="S26" s="23"/>
      <c r="T26" s="23"/>
      <c r="U26" s="26"/>
      <c r="V26" s="1">
        <v>0.26</v>
      </c>
      <c r="W26" s="1">
        <v>2.37</v>
      </c>
      <c r="X26" s="1">
        <v>5.55</v>
      </c>
      <c r="Y26" s="1">
        <v>0.3</v>
      </c>
      <c r="Z26" s="1">
        <v>0.39</v>
      </c>
      <c r="AA26" s="1">
        <v>5.6</v>
      </c>
      <c r="AB26" s="23"/>
      <c r="AC26" s="23"/>
      <c r="AD26" s="23"/>
      <c r="AE26" s="20"/>
      <c r="AF26" s="20"/>
    </row>
    <row r="27" spans="1:32" x14ac:dyDescent="0.3">
      <c r="D27" s="24"/>
      <c r="E27" s="24"/>
      <c r="F27" s="27"/>
      <c r="G27" s="1">
        <v>0.2</v>
      </c>
      <c r="H27" s="1">
        <v>2.6</v>
      </c>
      <c r="I27" s="1">
        <v>5.2</v>
      </c>
      <c r="J27" s="1">
        <v>0.28000000000000003</v>
      </c>
      <c r="K27" s="1">
        <v>0.34</v>
      </c>
      <c r="L27" s="1">
        <v>5.44</v>
      </c>
      <c r="M27" s="24"/>
      <c r="N27" s="24"/>
      <c r="O27" s="24"/>
      <c r="P27" s="20"/>
      <c r="Q27" s="20"/>
      <c r="S27" s="24"/>
      <c r="T27" s="24"/>
      <c r="U27" s="27"/>
      <c r="V27" s="1">
        <v>0.23</v>
      </c>
      <c r="W27" s="1">
        <v>2.48</v>
      </c>
      <c r="X27" s="1">
        <v>5.48</v>
      </c>
      <c r="Y27" s="1">
        <v>0.32</v>
      </c>
      <c r="Z27" s="1">
        <v>0.36</v>
      </c>
      <c r="AA27" s="1">
        <v>5.5</v>
      </c>
      <c r="AB27" s="24"/>
      <c r="AC27" s="24"/>
      <c r="AD27" s="24"/>
      <c r="AE27" s="20"/>
      <c r="AF27" s="20"/>
    </row>
    <row r="28" spans="1:32" x14ac:dyDescent="0.3">
      <c r="D28" s="22">
        <v>5</v>
      </c>
      <c r="E28" s="22" t="s">
        <v>87</v>
      </c>
      <c r="F28" s="25">
        <v>45700</v>
      </c>
      <c r="G28" s="1">
        <v>0.2</v>
      </c>
      <c r="H28" s="1">
        <v>2</v>
      </c>
      <c r="I28" s="1">
        <v>5.31</v>
      </c>
      <c r="J28" s="1">
        <v>0.18</v>
      </c>
      <c r="K28" s="1">
        <v>0.32</v>
      </c>
      <c r="L28" s="1">
        <v>5.43</v>
      </c>
      <c r="M28" s="22">
        <f>SUM(G28:L28)</f>
        <v>13.44</v>
      </c>
      <c r="N28" s="22">
        <f>SUM(G29:L29)</f>
        <v>13.51</v>
      </c>
      <c r="O28" s="22">
        <f>SUM(G30:L30)</f>
        <v>14.66</v>
      </c>
      <c r="P28" s="20">
        <f>(M28+N28+O28)/3</f>
        <v>13.87</v>
      </c>
      <c r="Q28" s="20">
        <f>60/P28*45</f>
        <v>194.66474405191062</v>
      </c>
      <c r="S28" s="22">
        <v>5</v>
      </c>
      <c r="T28" s="22" t="s">
        <v>87</v>
      </c>
      <c r="U28" s="25">
        <v>45700</v>
      </c>
      <c r="V28" s="1">
        <v>0.2</v>
      </c>
      <c r="W28" s="1">
        <v>2.29</v>
      </c>
      <c r="X28" s="1">
        <v>5.31</v>
      </c>
      <c r="Y28" s="1">
        <v>0.25</v>
      </c>
      <c r="Z28" s="1">
        <v>0.36</v>
      </c>
      <c r="AA28" s="1">
        <v>5.55</v>
      </c>
      <c r="AB28" s="22">
        <f>SUM(V28:AA28)</f>
        <v>13.96</v>
      </c>
      <c r="AC28" s="22">
        <f>SUM(V29:AA29)</f>
        <v>13.959999999999999</v>
      </c>
      <c r="AD28" s="22">
        <f>SUM(V30:AA30)</f>
        <v>15.62</v>
      </c>
      <c r="AE28" s="20">
        <f>(AB28+AC28+AD28)/3</f>
        <v>14.513333333333334</v>
      </c>
      <c r="AF28" s="20">
        <f>60/AE28*45</f>
        <v>186.03582912264582</v>
      </c>
    </row>
    <row r="29" spans="1:32" x14ac:dyDescent="0.3">
      <c r="D29" s="23"/>
      <c r="E29" s="23"/>
      <c r="F29" s="26"/>
      <c r="G29" s="1">
        <v>0.2</v>
      </c>
      <c r="H29" s="1">
        <v>2.0699999999999998</v>
      </c>
      <c r="I29" s="1">
        <v>5.31</v>
      </c>
      <c r="J29" s="1">
        <v>0.18</v>
      </c>
      <c r="K29" s="1">
        <v>0.32</v>
      </c>
      <c r="L29" s="1">
        <v>5.43</v>
      </c>
      <c r="M29" s="23"/>
      <c r="N29" s="23"/>
      <c r="O29" s="23"/>
      <c r="P29" s="20"/>
      <c r="Q29" s="20"/>
      <c r="S29" s="23"/>
      <c r="T29" s="23"/>
      <c r="U29" s="26"/>
      <c r="V29" s="1">
        <v>0.22</v>
      </c>
      <c r="W29" s="1">
        <v>2.2999999999999998</v>
      </c>
      <c r="X29" s="1">
        <v>5.35</v>
      </c>
      <c r="Y29" s="1">
        <v>0.24</v>
      </c>
      <c r="Z29" s="1">
        <v>0.35</v>
      </c>
      <c r="AA29" s="1">
        <v>5.5</v>
      </c>
      <c r="AB29" s="23"/>
      <c r="AC29" s="23"/>
      <c r="AD29" s="23"/>
      <c r="AE29" s="20"/>
      <c r="AF29" s="20"/>
    </row>
    <row r="30" spans="1:32" x14ac:dyDescent="0.3">
      <c r="D30" s="24"/>
      <c r="E30" s="24"/>
      <c r="F30" s="27"/>
      <c r="G30" s="1">
        <v>0.15</v>
      </c>
      <c r="H30" s="1">
        <v>2.02</v>
      </c>
      <c r="I30" s="1">
        <v>6.42</v>
      </c>
      <c r="J30" s="1">
        <v>0.31</v>
      </c>
      <c r="K30" s="1">
        <v>0.37</v>
      </c>
      <c r="L30" s="1">
        <v>5.39</v>
      </c>
      <c r="M30" s="24"/>
      <c r="N30" s="24"/>
      <c r="O30" s="24"/>
      <c r="P30" s="20"/>
      <c r="Q30" s="20"/>
      <c r="S30" s="24"/>
      <c r="T30" s="24"/>
      <c r="U30" s="27"/>
      <c r="V30" s="1">
        <v>0.25</v>
      </c>
      <c r="W30" s="1">
        <v>2.31</v>
      </c>
      <c r="X30" s="1">
        <v>6.38</v>
      </c>
      <c r="Y30" s="1">
        <v>0.31</v>
      </c>
      <c r="Z30" s="1">
        <v>0.37</v>
      </c>
      <c r="AA30" s="1">
        <v>6</v>
      </c>
      <c r="AB30" s="24"/>
      <c r="AC30" s="24"/>
      <c r="AD30" s="24"/>
      <c r="AE30" s="20"/>
      <c r="AF30" s="20"/>
    </row>
    <row r="31" spans="1:32" x14ac:dyDescent="0.3">
      <c r="D31" s="22">
        <v>9</v>
      </c>
      <c r="E31" s="22" t="s">
        <v>91</v>
      </c>
      <c r="F31" s="25">
        <v>45701</v>
      </c>
      <c r="G31" s="1">
        <v>0.24</v>
      </c>
      <c r="H31" s="1">
        <v>2.37</v>
      </c>
      <c r="I31" s="1">
        <v>7.27</v>
      </c>
      <c r="J31" s="1">
        <v>0.3</v>
      </c>
      <c r="K31" s="1">
        <v>0.13</v>
      </c>
      <c r="L31" s="1">
        <v>6</v>
      </c>
      <c r="M31" s="22">
        <f>SUM(G31:L31)</f>
        <v>16.310000000000002</v>
      </c>
      <c r="N31" s="22">
        <f>SUM(G32:L32)</f>
        <v>15.82</v>
      </c>
      <c r="O31" s="22">
        <f>SUM(G33:L33)</f>
        <v>14.91</v>
      </c>
      <c r="P31" s="20">
        <f>(M31+N31+O31)/3</f>
        <v>15.680000000000001</v>
      </c>
      <c r="Q31" s="20">
        <f>60/P31*45</f>
        <v>172.19387755102039</v>
      </c>
      <c r="S31" s="22">
        <v>9</v>
      </c>
      <c r="T31" s="22" t="s">
        <v>91</v>
      </c>
      <c r="U31" s="25">
        <v>45701</v>
      </c>
      <c r="V31" s="1">
        <v>0.25</v>
      </c>
      <c r="W31" s="1">
        <v>2.37</v>
      </c>
      <c r="X31" s="12">
        <v>7.27</v>
      </c>
      <c r="Y31" s="1">
        <v>0.32</v>
      </c>
      <c r="Z31" s="1">
        <v>0.3</v>
      </c>
      <c r="AA31" s="1">
        <v>6</v>
      </c>
      <c r="AB31" s="22">
        <f>SUM(V31:AA31)</f>
        <v>16.510000000000002</v>
      </c>
      <c r="AC31" s="22">
        <f>SUM(V32:AA32)</f>
        <v>15.600000000000001</v>
      </c>
      <c r="AD31" s="22">
        <f>SUM(V33:AA33)</f>
        <v>15.54</v>
      </c>
      <c r="AE31" s="20">
        <f>(AB31+AC31+AD31)/3</f>
        <v>15.883333333333333</v>
      </c>
      <c r="AF31" s="20">
        <f>60/AE31*45</f>
        <v>169.98950682056665</v>
      </c>
    </row>
    <row r="32" spans="1:32" x14ac:dyDescent="0.3">
      <c r="D32" s="23"/>
      <c r="E32" s="23"/>
      <c r="F32" s="26"/>
      <c r="G32" s="1">
        <v>0.18</v>
      </c>
      <c r="H32" s="1">
        <v>2.0099999999999998</v>
      </c>
      <c r="I32" s="1">
        <v>6.01</v>
      </c>
      <c r="J32" s="1">
        <v>1.23</v>
      </c>
      <c r="K32" s="1">
        <v>0.24</v>
      </c>
      <c r="L32" s="1">
        <v>6.15</v>
      </c>
      <c r="M32" s="23"/>
      <c r="N32" s="23"/>
      <c r="O32" s="23"/>
      <c r="P32" s="20"/>
      <c r="Q32" s="20"/>
      <c r="S32" s="23"/>
      <c r="T32" s="23"/>
      <c r="U32" s="26"/>
      <c r="V32" s="1">
        <v>0.2</v>
      </c>
      <c r="W32" s="1">
        <v>2.2999999999999998</v>
      </c>
      <c r="X32" s="1">
        <v>6.3</v>
      </c>
      <c r="Y32" s="1">
        <v>0.31</v>
      </c>
      <c r="Z32" s="1">
        <v>0.28999999999999998</v>
      </c>
      <c r="AA32" s="1">
        <v>6.2</v>
      </c>
      <c r="AB32" s="23"/>
      <c r="AC32" s="23"/>
      <c r="AD32" s="23"/>
      <c r="AE32" s="20"/>
      <c r="AF32" s="20"/>
    </row>
    <row r="33" spans="4:32" x14ac:dyDescent="0.3">
      <c r="D33" s="24"/>
      <c r="E33" s="24"/>
      <c r="F33" s="27"/>
      <c r="G33" s="1">
        <v>0.2</v>
      </c>
      <c r="H33" s="1">
        <v>2.0299999999999998</v>
      </c>
      <c r="I33" s="1">
        <v>6.1</v>
      </c>
      <c r="J33" s="1">
        <v>0.2</v>
      </c>
      <c r="K33" s="1">
        <v>0.18</v>
      </c>
      <c r="L33" s="1">
        <v>6.2</v>
      </c>
      <c r="M33" s="24"/>
      <c r="N33" s="24"/>
      <c r="O33" s="24"/>
      <c r="P33" s="20"/>
      <c r="Q33" s="20"/>
      <c r="S33" s="24"/>
      <c r="T33" s="24"/>
      <c r="U33" s="27"/>
      <c r="V33" s="1">
        <v>0.21</v>
      </c>
      <c r="W33" s="1">
        <v>2.31</v>
      </c>
      <c r="X33" s="1">
        <v>6.21</v>
      </c>
      <c r="Y33" s="1">
        <v>0.28999999999999998</v>
      </c>
      <c r="Z33" s="1">
        <v>0.27</v>
      </c>
      <c r="AA33" s="1">
        <v>6.25</v>
      </c>
      <c r="AB33" s="24"/>
      <c r="AC33" s="24"/>
      <c r="AD33" s="24"/>
      <c r="AE33" s="20"/>
      <c r="AF33" s="20"/>
    </row>
    <row r="34" spans="4:32" x14ac:dyDescent="0.3">
      <c r="D34" s="22">
        <v>8</v>
      </c>
      <c r="E34" s="22" t="s">
        <v>90</v>
      </c>
      <c r="F34" s="25">
        <v>45701</v>
      </c>
      <c r="G34" s="1">
        <v>0.18</v>
      </c>
      <c r="H34" s="1">
        <v>2.0699999999999998</v>
      </c>
      <c r="I34" s="1">
        <v>5.13</v>
      </c>
      <c r="J34" s="1">
        <v>0.2</v>
      </c>
      <c r="K34" s="1">
        <v>0.27</v>
      </c>
      <c r="L34" s="1">
        <v>5.45</v>
      </c>
      <c r="M34" s="22">
        <f>SUM(G34:L34)</f>
        <v>13.3</v>
      </c>
      <c r="N34" s="22">
        <f>SUM(G35:L35)</f>
        <v>13.580000000000002</v>
      </c>
      <c r="O34" s="22">
        <f>SUM(G36:L36)</f>
        <v>13.120000000000001</v>
      </c>
      <c r="P34" s="20">
        <f>(M34+N34+O34)/3</f>
        <v>13.333333333333334</v>
      </c>
      <c r="Q34" s="20">
        <f>60/P34*45</f>
        <v>202.5</v>
      </c>
      <c r="S34" s="22">
        <v>8</v>
      </c>
      <c r="T34" s="22" t="s">
        <v>90</v>
      </c>
      <c r="U34" s="25">
        <v>45701</v>
      </c>
      <c r="V34" s="1">
        <v>0.21</v>
      </c>
      <c r="W34" s="1">
        <v>2.33</v>
      </c>
      <c r="X34" s="1">
        <v>5.3</v>
      </c>
      <c r="Y34" s="1">
        <v>0.25</v>
      </c>
      <c r="Z34" s="1">
        <v>0.3</v>
      </c>
      <c r="AA34" s="1">
        <v>5.5</v>
      </c>
      <c r="AB34" s="22">
        <f>SUM(V34:AA34)</f>
        <v>13.89</v>
      </c>
      <c r="AC34" s="22">
        <f>SUM(V35:AA35)</f>
        <v>14.08</v>
      </c>
      <c r="AD34" s="22">
        <f>SUM(V36:AA36)</f>
        <v>13.81</v>
      </c>
      <c r="AE34" s="20">
        <f>(AB34+AC34+AD34)/3</f>
        <v>13.926666666666668</v>
      </c>
      <c r="AF34" s="20">
        <f>60/AE34*45</f>
        <v>193.8726663475347</v>
      </c>
    </row>
    <row r="35" spans="4:32" x14ac:dyDescent="0.3">
      <c r="D35" s="23"/>
      <c r="E35" s="23"/>
      <c r="F35" s="26"/>
      <c r="G35" s="1">
        <v>0.15</v>
      </c>
      <c r="H35" s="1">
        <v>2.15</v>
      </c>
      <c r="I35" s="1">
        <v>5.46</v>
      </c>
      <c r="J35" s="1">
        <v>0.3</v>
      </c>
      <c r="K35" s="1">
        <v>0.32</v>
      </c>
      <c r="L35" s="1">
        <v>5.2</v>
      </c>
      <c r="M35" s="23"/>
      <c r="N35" s="23"/>
      <c r="O35" s="23"/>
      <c r="P35" s="20"/>
      <c r="Q35" s="20"/>
      <c r="S35" s="23"/>
      <c r="T35" s="23"/>
      <c r="U35" s="26"/>
      <c r="V35" s="1">
        <v>0.2</v>
      </c>
      <c r="W35" s="1">
        <v>2.2999999999999998</v>
      </c>
      <c r="X35" s="1">
        <v>5.5</v>
      </c>
      <c r="Y35" s="1">
        <v>0.32</v>
      </c>
      <c r="Z35" s="1">
        <v>0.35</v>
      </c>
      <c r="AA35" s="1">
        <v>5.41</v>
      </c>
      <c r="AB35" s="23"/>
      <c r="AC35" s="23"/>
      <c r="AD35" s="23"/>
      <c r="AE35" s="20"/>
      <c r="AF35" s="20"/>
    </row>
    <row r="36" spans="4:32" x14ac:dyDescent="0.3">
      <c r="D36" s="24"/>
      <c r="E36" s="24"/>
      <c r="F36" s="27"/>
      <c r="G36" s="1">
        <v>0.2</v>
      </c>
      <c r="H36" s="1">
        <v>2</v>
      </c>
      <c r="I36" s="1">
        <v>5.14</v>
      </c>
      <c r="J36" s="1">
        <v>0.2</v>
      </c>
      <c r="K36" s="1">
        <v>0.26</v>
      </c>
      <c r="L36" s="1">
        <v>5.32</v>
      </c>
      <c r="M36" s="24"/>
      <c r="N36" s="24"/>
      <c r="O36" s="24"/>
      <c r="P36" s="20"/>
      <c r="Q36" s="20"/>
      <c r="S36" s="24"/>
      <c r="T36" s="24"/>
      <c r="U36" s="27"/>
      <c r="V36" s="1">
        <v>0.22</v>
      </c>
      <c r="W36" s="1">
        <v>2.3199999999999998</v>
      </c>
      <c r="X36" s="1">
        <v>5.25</v>
      </c>
      <c r="Y36" s="1">
        <v>0.3</v>
      </c>
      <c r="Z36" s="1">
        <v>0.32</v>
      </c>
      <c r="AA36" s="1">
        <v>5.4</v>
      </c>
      <c r="AB36" s="24"/>
      <c r="AC36" s="24"/>
      <c r="AD36" s="24"/>
      <c r="AE36" s="20"/>
      <c r="AF36" s="20"/>
    </row>
    <row r="37" spans="4:32" x14ac:dyDescent="0.3">
      <c r="D37" s="22">
        <v>10</v>
      </c>
      <c r="E37" s="22" t="s">
        <v>92</v>
      </c>
      <c r="F37" s="25">
        <v>45701</v>
      </c>
      <c r="G37" s="1">
        <v>0.2</v>
      </c>
      <c r="H37" s="1">
        <v>1.47</v>
      </c>
      <c r="I37" s="1">
        <v>7.05</v>
      </c>
      <c r="J37" s="1">
        <v>0.25</v>
      </c>
      <c r="K37" s="1">
        <v>0.24</v>
      </c>
      <c r="L37" s="1">
        <v>7.11</v>
      </c>
      <c r="M37" s="22">
        <f>SUM(G37:L37)</f>
        <v>16.32</v>
      </c>
      <c r="N37" s="22">
        <f>SUM(G38:L38)</f>
        <v>15.8</v>
      </c>
      <c r="O37" s="22">
        <f>SUM(G39:L39)</f>
        <v>15.579999999999998</v>
      </c>
      <c r="P37" s="20">
        <f>(M37+N37+O37)/3</f>
        <v>15.9</v>
      </c>
      <c r="Q37" s="20">
        <f>60/P37*45</f>
        <v>169.81132075471697</v>
      </c>
      <c r="S37" s="22">
        <v>10</v>
      </c>
      <c r="T37" s="22" t="s">
        <v>92</v>
      </c>
      <c r="U37" s="25">
        <v>45701</v>
      </c>
      <c r="V37" s="1">
        <v>0.23</v>
      </c>
      <c r="W37" s="1">
        <v>2.2999999999999998</v>
      </c>
      <c r="X37" s="1">
        <v>7.12</v>
      </c>
      <c r="Y37" s="1">
        <v>0.3</v>
      </c>
      <c r="Z37" s="1">
        <v>0.28999999999999998</v>
      </c>
      <c r="AA37" s="1">
        <v>7.15</v>
      </c>
      <c r="AB37" s="22">
        <f>SUM(V37:AA37)</f>
        <v>17.39</v>
      </c>
      <c r="AC37" s="22">
        <f>SUM(V38:AA38)</f>
        <v>16.189999999999998</v>
      </c>
      <c r="AD37" s="22">
        <f>SUM(V39:AA39)</f>
        <v>16.82</v>
      </c>
      <c r="AE37" s="20">
        <f>(AB37+AC37+AD37)/3</f>
        <v>16.8</v>
      </c>
      <c r="AF37" s="20">
        <f>60/AE37*45</f>
        <v>160.71428571428569</v>
      </c>
    </row>
    <row r="38" spans="4:32" x14ac:dyDescent="0.3">
      <c r="D38" s="23"/>
      <c r="E38" s="23"/>
      <c r="F38" s="26"/>
      <c r="G38" s="1">
        <v>0.23</v>
      </c>
      <c r="H38" s="1">
        <v>2.23</v>
      </c>
      <c r="I38" s="1">
        <v>7.45</v>
      </c>
      <c r="J38" s="1">
        <v>0.27</v>
      </c>
      <c r="K38" s="1">
        <v>0.32</v>
      </c>
      <c r="L38" s="1">
        <v>5.3</v>
      </c>
      <c r="M38" s="23"/>
      <c r="N38" s="23"/>
      <c r="O38" s="23"/>
      <c r="P38" s="20"/>
      <c r="Q38" s="20"/>
      <c r="S38" s="23"/>
      <c r="T38" s="23"/>
      <c r="U38" s="26"/>
      <c r="V38" s="1">
        <v>0.25</v>
      </c>
      <c r="W38" s="1">
        <v>2.34</v>
      </c>
      <c r="X38" s="1">
        <v>7.45</v>
      </c>
      <c r="Y38" s="1">
        <v>0.3</v>
      </c>
      <c r="Z38" s="1">
        <v>0.35</v>
      </c>
      <c r="AA38" s="1">
        <v>5.5</v>
      </c>
      <c r="AB38" s="23"/>
      <c r="AC38" s="23"/>
      <c r="AD38" s="23"/>
      <c r="AE38" s="20"/>
      <c r="AF38" s="20"/>
    </row>
    <row r="39" spans="4:32" x14ac:dyDescent="0.3">
      <c r="D39" s="24"/>
      <c r="E39" s="24"/>
      <c r="F39" s="27"/>
      <c r="G39" s="1">
        <v>0.19</v>
      </c>
      <c r="H39" s="1">
        <v>1.53</v>
      </c>
      <c r="I39" s="1">
        <v>7.3</v>
      </c>
      <c r="J39" s="1">
        <v>0.28000000000000003</v>
      </c>
      <c r="K39" s="1">
        <v>0.28000000000000003</v>
      </c>
      <c r="L39" s="1">
        <v>6</v>
      </c>
      <c r="M39" s="24"/>
      <c r="N39" s="24"/>
      <c r="O39" s="24"/>
      <c r="P39" s="20"/>
      <c r="Q39" s="20"/>
      <c r="S39" s="24"/>
      <c r="T39" s="24"/>
      <c r="U39" s="27"/>
      <c r="V39" s="1">
        <v>0.23</v>
      </c>
      <c r="W39" s="1">
        <v>2.2799999999999998</v>
      </c>
      <c r="X39" s="1">
        <v>7.5</v>
      </c>
      <c r="Y39" s="1">
        <v>0.3</v>
      </c>
      <c r="Z39" s="1">
        <v>0.31</v>
      </c>
      <c r="AA39" s="1">
        <v>6.2</v>
      </c>
      <c r="AB39" s="24"/>
      <c r="AC39" s="24"/>
      <c r="AD39" s="24"/>
      <c r="AE39" s="20"/>
      <c r="AF39" s="20"/>
    </row>
    <row r="40" spans="4:32" x14ac:dyDescent="0.3">
      <c r="P40" s="13">
        <f>SUM(P7:P39)/12</f>
        <v>12.935277777777779</v>
      </c>
      <c r="Q40" s="14">
        <f>SUM(Q7:Q39)/12</f>
        <v>176.03490053560208</v>
      </c>
      <c r="AE40" s="13">
        <f>SUM(AE7:AE39)/12</f>
        <v>13.720833333333337</v>
      </c>
      <c r="AF40" s="14">
        <f>SUM(AF7:AF39)/12</f>
        <v>165.79828671608951</v>
      </c>
    </row>
  </sheetData>
  <mergeCells count="224">
    <mergeCell ref="V2:V3"/>
    <mergeCell ref="W2:W3"/>
    <mergeCell ref="X2:X3"/>
    <mergeCell ref="Y2:Y3"/>
    <mergeCell ref="Z2:Z3"/>
    <mergeCell ref="G1:L1"/>
    <mergeCell ref="M1:O1"/>
    <mergeCell ref="Q1:Q3"/>
    <mergeCell ref="S1:S3"/>
    <mergeCell ref="T1:T3"/>
    <mergeCell ref="U1:U3"/>
    <mergeCell ref="V1:AA1"/>
    <mergeCell ref="AA2:AA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B2:AB3"/>
    <mergeCell ref="AC2:AC3"/>
    <mergeCell ref="AD2:AD3"/>
    <mergeCell ref="AE2:AE3"/>
    <mergeCell ref="D7:D9"/>
    <mergeCell ref="E7:E9"/>
    <mergeCell ref="F7:F9"/>
    <mergeCell ref="M7:M9"/>
    <mergeCell ref="N7:N9"/>
    <mergeCell ref="O7:O9"/>
    <mergeCell ref="P7:P9"/>
    <mergeCell ref="Q7:Q9"/>
    <mergeCell ref="S7:S9"/>
    <mergeCell ref="T7:T9"/>
    <mergeCell ref="U7:U9"/>
    <mergeCell ref="AB7:AB9"/>
    <mergeCell ref="D1:D3"/>
    <mergeCell ref="E1:E3"/>
    <mergeCell ref="F1:F3"/>
    <mergeCell ref="AC7:AC9"/>
    <mergeCell ref="AD7:AD9"/>
    <mergeCell ref="AE7:AE9"/>
    <mergeCell ref="AB1:AD1"/>
    <mergeCell ref="G2:G3"/>
    <mergeCell ref="AC22:AC24"/>
    <mergeCell ref="D28:D30"/>
    <mergeCell ref="E28:E30"/>
    <mergeCell ref="F28:F30"/>
    <mergeCell ref="M28:M30"/>
    <mergeCell ref="N28:N30"/>
    <mergeCell ref="U25:U27"/>
    <mergeCell ref="AB25:AB27"/>
    <mergeCell ref="AC25:AC27"/>
    <mergeCell ref="D22:D24"/>
    <mergeCell ref="E22:E24"/>
    <mergeCell ref="F22:F24"/>
    <mergeCell ref="M22:M24"/>
    <mergeCell ref="N22:N24"/>
    <mergeCell ref="O22:O24"/>
    <mergeCell ref="P22:P24"/>
    <mergeCell ref="Q22:Q24"/>
    <mergeCell ref="S22:S24"/>
    <mergeCell ref="T4:T6"/>
    <mergeCell ref="U4:U6"/>
    <mergeCell ref="AB4:AB6"/>
    <mergeCell ref="AC4:AC6"/>
    <mergeCell ref="AD4:AD6"/>
    <mergeCell ref="AE4:AE6"/>
    <mergeCell ref="D10:D12"/>
    <mergeCell ref="E10:E12"/>
    <mergeCell ref="F10:F12"/>
    <mergeCell ref="M10:M12"/>
    <mergeCell ref="N10:N12"/>
    <mergeCell ref="U10:U12"/>
    <mergeCell ref="AB10:AB12"/>
    <mergeCell ref="AC10:AC12"/>
    <mergeCell ref="D4:D6"/>
    <mergeCell ref="E4:E6"/>
    <mergeCell ref="F4:F6"/>
    <mergeCell ref="M4:M6"/>
    <mergeCell ref="N4:N6"/>
    <mergeCell ref="O4:O6"/>
    <mergeCell ref="P4:P6"/>
    <mergeCell ref="Q4:Q6"/>
    <mergeCell ref="S4:S6"/>
    <mergeCell ref="D13:D15"/>
    <mergeCell ref="U28:U30"/>
    <mergeCell ref="AB28:AB30"/>
    <mergeCell ref="AC28:AC30"/>
    <mergeCell ref="AD28:AD30"/>
    <mergeCell ref="AE28:AE30"/>
    <mergeCell ref="O28:O30"/>
    <mergeCell ref="P28:P30"/>
    <mergeCell ref="Q28:Q30"/>
    <mergeCell ref="S28:S30"/>
    <mergeCell ref="T28:T30"/>
    <mergeCell ref="AE25:AE27"/>
    <mergeCell ref="O25:O27"/>
    <mergeCell ref="P25:P27"/>
    <mergeCell ref="Q25:Q27"/>
    <mergeCell ref="S25:S27"/>
    <mergeCell ref="T25:T27"/>
    <mergeCell ref="D25:D27"/>
    <mergeCell ref="E25:E27"/>
    <mergeCell ref="F25:F27"/>
    <mergeCell ref="M25:M27"/>
    <mergeCell ref="N25:N27"/>
    <mergeCell ref="AE13:AE15"/>
    <mergeCell ref="T22:T24"/>
    <mergeCell ref="E13:E15"/>
    <mergeCell ref="F13:F15"/>
    <mergeCell ref="M13:M15"/>
    <mergeCell ref="N13:N15"/>
    <mergeCell ref="O13:O15"/>
    <mergeCell ref="P13:P15"/>
    <mergeCell ref="Q13:Q15"/>
    <mergeCell ref="S13:S15"/>
    <mergeCell ref="T13:T15"/>
    <mergeCell ref="AD10:AD12"/>
    <mergeCell ref="AE10:AE12"/>
    <mergeCell ref="O10:O12"/>
    <mergeCell ref="P10:P12"/>
    <mergeCell ref="Q10:Q12"/>
    <mergeCell ref="S10:S12"/>
    <mergeCell ref="T10:T12"/>
    <mergeCell ref="AE34:AE36"/>
    <mergeCell ref="O34:O36"/>
    <mergeCell ref="P34:P36"/>
    <mergeCell ref="Q34:Q36"/>
    <mergeCell ref="S34:S36"/>
    <mergeCell ref="T34:T36"/>
    <mergeCell ref="S19:S21"/>
    <mergeCell ref="T19:T21"/>
    <mergeCell ref="AD25:AD27"/>
    <mergeCell ref="U13:U15"/>
    <mergeCell ref="AB13:AB15"/>
    <mergeCell ref="AC13:AC15"/>
    <mergeCell ref="AD13:AD15"/>
    <mergeCell ref="AD22:AD24"/>
    <mergeCell ref="AE22:AE24"/>
    <mergeCell ref="U22:U24"/>
    <mergeCell ref="AB22:AB24"/>
    <mergeCell ref="AE31:AE33"/>
    <mergeCell ref="O31:O33"/>
    <mergeCell ref="P31:P33"/>
    <mergeCell ref="Q31:Q33"/>
    <mergeCell ref="S31:S33"/>
    <mergeCell ref="T31:T33"/>
    <mergeCell ref="D31:D33"/>
    <mergeCell ref="E31:E33"/>
    <mergeCell ref="F31:F33"/>
    <mergeCell ref="M31:M33"/>
    <mergeCell ref="N31:N33"/>
    <mergeCell ref="D37:D39"/>
    <mergeCell ref="E37:E39"/>
    <mergeCell ref="F37:F39"/>
    <mergeCell ref="M37:M39"/>
    <mergeCell ref="N37:N39"/>
    <mergeCell ref="U31:U33"/>
    <mergeCell ref="AB31:AB33"/>
    <mergeCell ref="AC31:AC33"/>
    <mergeCell ref="AD31:AD33"/>
    <mergeCell ref="U34:U36"/>
    <mergeCell ref="AB34:AB36"/>
    <mergeCell ref="AC34:AC36"/>
    <mergeCell ref="AD34:AD36"/>
    <mergeCell ref="U37:U39"/>
    <mergeCell ref="AB37:AB39"/>
    <mergeCell ref="AC37:AC39"/>
    <mergeCell ref="AD37:AD39"/>
    <mergeCell ref="D34:D36"/>
    <mergeCell ref="E34:E36"/>
    <mergeCell ref="F34:F36"/>
    <mergeCell ref="M34:M36"/>
    <mergeCell ref="N34:N36"/>
    <mergeCell ref="AE37:AE39"/>
    <mergeCell ref="O37:O39"/>
    <mergeCell ref="P37:P39"/>
    <mergeCell ref="Q37:Q39"/>
    <mergeCell ref="S37:S39"/>
    <mergeCell ref="T37:T39"/>
    <mergeCell ref="AE16:AE18"/>
    <mergeCell ref="O16:O18"/>
    <mergeCell ref="P16:P18"/>
    <mergeCell ref="Q16:Q18"/>
    <mergeCell ref="S16:S18"/>
    <mergeCell ref="T16:T18"/>
    <mergeCell ref="U16:U18"/>
    <mergeCell ref="AB16:AB18"/>
    <mergeCell ref="AC16:AC18"/>
    <mergeCell ref="AD16:AD18"/>
    <mergeCell ref="U19:U21"/>
    <mergeCell ref="AB19:AB21"/>
    <mergeCell ref="AC19:AC21"/>
    <mergeCell ref="AD19:AD21"/>
    <mergeCell ref="AE19:AE21"/>
    <mergeCell ref="O19:O21"/>
    <mergeCell ref="P19:P21"/>
    <mergeCell ref="Q19:Q21"/>
    <mergeCell ref="D16:D18"/>
    <mergeCell ref="E16:E18"/>
    <mergeCell ref="F16:F18"/>
    <mergeCell ref="M16:M18"/>
    <mergeCell ref="N16:N18"/>
    <mergeCell ref="D19:D21"/>
    <mergeCell ref="E19:E21"/>
    <mergeCell ref="F19:F21"/>
    <mergeCell ref="M19:M21"/>
    <mergeCell ref="N19:N21"/>
    <mergeCell ref="AF31:AF33"/>
    <mergeCell ref="AF34:AF36"/>
    <mergeCell ref="AF37:AF39"/>
    <mergeCell ref="AF16:AF18"/>
    <mergeCell ref="AF19:AF21"/>
    <mergeCell ref="AF22:AF24"/>
    <mergeCell ref="AF25:AF27"/>
    <mergeCell ref="AF28:AF30"/>
    <mergeCell ref="AF1:AF3"/>
    <mergeCell ref="AF4:AF6"/>
    <mergeCell ref="AF7:AF9"/>
    <mergeCell ref="AF10:AF12"/>
    <mergeCell ref="AF13:A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CC74-4117-43E1-8F5F-7C3D5A8E2FB4}">
  <dimension ref="A1:C13"/>
  <sheetViews>
    <sheetView workbookViewId="0">
      <selection activeCell="C11" sqref="C11"/>
    </sheetView>
  </sheetViews>
  <sheetFormatPr defaultRowHeight="14.5" x14ac:dyDescent="0.35"/>
  <cols>
    <col min="1" max="1" width="11" bestFit="1" customWidth="1"/>
    <col min="2" max="2" width="15.1796875" bestFit="1" customWidth="1"/>
    <col min="3" max="3" width="12.08984375" bestFit="1" customWidth="1"/>
  </cols>
  <sheetData>
    <row r="1" spans="1:3" x14ac:dyDescent="0.35">
      <c r="A1" t="s">
        <v>0</v>
      </c>
      <c r="B1" t="s">
        <v>1</v>
      </c>
      <c r="C1" t="s">
        <v>21</v>
      </c>
    </row>
    <row r="2" spans="1:3" x14ac:dyDescent="0.35">
      <c r="A2" t="s">
        <v>2</v>
      </c>
      <c r="B2">
        <v>8.1980519480519501E-2</v>
      </c>
      <c r="C2">
        <v>2464</v>
      </c>
    </row>
    <row r="3" spans="1:3" x14ac:dyDescent="0.35">
      <c r="A3" t="s">
        <v>3</v>
      </c>
      <c r="B3">
        <v>2.4161073825503401</v>
      </c>
      <c r="C3">
        <v>149</v>
      </c>
    </row>
    <row r="4" spans="1:3" x14ac:dyDescent="0.35">
      <c r="A4" t="s">
        <v>4</v>
      </c>
      <c r="B4">
        <v>1.68553459119497</v>
      </c>
      <c r="C4">
        <v>159</v>
      </c>
    </row>
    <row r="5" spans="1:3" x14ac:dyDescent="0.35">
      <c r="A5" t="s">
        <v>5</v>
      </c>
      <c r="B5">
        <v>1.69325153374233</v>
      </c>
      <c r="C5">
        <v>163</v>
      </c>
    </row>
    <row r="6" spans="1:3" x14ac:dyDescent="0.35">
      <c r="A6" t="s">
        <v>6</v>
      </c>
      <c r="B6">
        <v>0.95934959349593496</v>
      </c>
      <c r="C6">
        <v>246</v>
      </c>
    </row>
    <row r="7" spans="1:3" x14ac:dyDescent="0.35">
      <c r="A7" t="s">
        <v>7</v>
      </c>
      <c r="B7">
        <v>2.10759493670886</v>
      </c>
      <c r="C7">
        <v>158</v>
      </c>
    </row>
    <row r="8" spans="1:3" x14ac:dyDescent="0.35">
      <c r="A8" t="s">
        <v>8</v>
      </c>
      <c r="B8">
        <v>1.44078947368421</v>
      </c>
      <c r="C8">
        <v>152</v>
      </c>
    </row>
    <row r="9" spans="1:3" x14ac:dyDescent="0.35">
      <c r="A9" t="s">
        <v>9</v>
      </c>
      <c r="B9">
        <v>2.0314465408804998</v>
      </c>
      <c r="C9">
        <v>159</v>
      </c>
    </row>
    <row r="10" spans="1:3" x14ac:dyDescent="0.35">
      <c r="A10" t="s">
        <v>10</v>
      </c>
      <c r="B10">
        <v>1.8300653594771199</v>
      </c>
      <c r="C10">
        <v>153</v>
      </c>
    </row>
    <row r="11" spans="1:3" x14ac:dyDescent="0.35">
      <c r="A11" t="s">
        <v>11</v>
      </c>
      <c r="B11">
        <v>0.68200836820083699</v>
      </c>
      <c r="C11">
        <v>239</v>
      </c>
    </row>
    <row r="12" spans="1:3" x14ac:dyDescent="0.35">
      <c r="A12" t="s">
        <v>12</v>
      </c>
      <c r="B12">
        <v>1.1834319526627199</v>
      </c>
      <c r="C12">
        <v>169</v>
      </c>
    </row>
    <row r="13" spans="1:3" x14ac:dyDescent="0.35">
      <c r="A13" t="s">
        <v>13</v>
      </c>
      <c r="B13">
        <v>1.0115606936416199</v>
      </c>
      <c r="C13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1EF4-3EF7-427C-A489-E82C3A11BBAE}">
  <dimension ref="A1:I13"/>
  <sheetViews>
    <sheetView tabSelected="1" zoomScale="61" zoomScaleNormal="110" workbookViewId="0">
      <selection sqref="A1:F13"/>
    </sheetView>
  </sheetViews>
  <sheetFormatPr defaultRowHeight="14.5" x14ac:dyDescent="0.35"/>
  <cols>
    <col min="1" max="1" width="11" bestFit="1" customWidth="1"/>
    <col min="2" max="2" width="21.26953125" bestFit="1" customWidth="1"/>
    <col min="3" max="3" width="29.08984375" bestFit="1" customWidth="1"/>
    <col min="4" max="4" width="15.453125" bestFit="1" customWidth="1"/>
    <col min="5" max="5" width="19.453125" bestFit="1" customWidth="1"/>
    <col min="6" max="6" width="23.453125" bestFit="1" customWidth="1"/>
    <col min="7" max="7" width="13.7265625" bestFit="1" customWidth="1"/>
    <col min="8" max="8" width="9.36328125" bestFit="1" customWidth="1"/>
  </cols>
  <sheetData>
    <row r="1" spans="1:9" x14ac:dyDescent="0.35">
      <c r="A1" s="4" t="s">
        <v>0</v>
      </c>
      <c r="B1" s="4" t="s">
        <v>16</v>
      </c>
      <c r="C1" s="4" t="s">
        <v>17</v>
      </c>
      <c r="D1" s="4" t="s">
        <v>15</v>
      </c>
      <c r="E1" s="4" t="s">
        <v>18</v>
      </c>
      <c r="F1" s="4" t="s">
        <v>19</v>
      </c>
      <c r="G1" s="4" t="s">
        <v>20</v>
      </c>
      <c r="H1" s="4" t="s">
        <v>14</v>
      </c>
    </row>
    <row r="2" spans="1:9" x14ac:dyDescent="0.35">
      <c r="A2" s="4" t="s">
        <v>2</v>
      </c>
      <c r="B2" s="5">
        <f>Produktivitas!A2</f>
        <v>133.41176470588238</v>
      </c>
      <c r="C2" s="5">
        <f>Produktivitas!B2</f>
        <v>146.75294117647061</v>
      </c>
      <c r="D2" s="4">
        <v>0</v>
      </c>
      <c r="E2" s="19">
        <f>D2/B2</f>
        <v>0</v>
      </c>
      <c r="F2" s="19">
        <f>D2/C2</f>
        <v>0</v>
      </c>
      <c r="G2" s="15">
        <f>'Fuel Burn'!B2*'Fuel Burn'!C2</f>
        <v>202.00000000000006</v>
      </c>
      <c r="H2" s="4">
        <v>1</v>
      </c>
      <c r="I2">
        <f>ABS(E2-F2)</f>
        <v>0</v>
      </c>
    </row>
    <row r="3" spans="1:9" x14ac:dyDescent="0.35">
      <c r="A3" s="4" t="s">
        <v>3</v>
      </c>
      <c r="B3" s="5">
        <f>Produktivitas!A3</f>
        <v>129.50749464668095</v>
      </c>
      <c r="C3" s="5">
        <f>Produktivitas!B3</f>
        <v>142.45824411134905</v>
      </c>
      <c r="D3" s="4">
        <v>0.75680724248734998</v>
      </c>
      <c r="E3" s="19">
        <f t="shared" ref="E3:E13" si="0">D3/B3</f>
        <v>5.8437331719840011E-3</v>
      </c>
      <c r="F3" s="19">
        <f t="shared" ref="F3:F13" si="1">D3/C3</f>
        <v>5.3124847018036379E-3</v>
      </c>
      <c r="G3" s="15">
        <f>'Fuel Burn'!B3*'Fuel Burn'!C3</f>
        <v>360.00000000000068</v>
      </c>
      <c r="H3" s="4">
        <v>2</v>
      </c>
      <c r="I3">
        <f t="shared" ref="I3:I13" si="2">ABS(E3-F3)</f>
        <v>5.3124847018036318E-4</v>
      </c>
    </row>
    <row r="4" spans="1:9" x14ac:dyDescent="0.35">
      <c r="A4" s="4" t="s">
        <v>4</v>
      </c>
      <c r="B4" s="5">
        <f>Produktivitas!A4</f>
        <v>136.01199400299851</v>
      </c>
      <c r="C4" s="5">
        <f>Produktivitas!B4</f>
        <v>149.61319340329837</v>
      </c>
      <c r="D4" s="4">
        <v>0.65559310298999696</v>
      </c>
      <c r="E4" s="19">
        <f t="shared" si="0"/>
        <v>4.8201124304930332E-3</v>
      </c>
      <c r="F4" s="19">
        <f t="shared" si="1"/>
        <v>4.3819203913573026E-3</v>
      </c>
      <c r="G4" s="15">
        <f>'Fuel Burn'!B4*'Fuel Burn'!C4</f>
        <v>268.00000000000023</v>
      </c>
      <c r="H4" s="4">
        <v>3</v>
      </c>
      <c r="I4">
        <f t="shared" si="2"/>
        <v>4.3819203913573069E-4</v>
      </c>
    </row>
    <row r="5" spans="1:9" x14ac:dyDescent="0.35">
      <c r="A5" s="4" t="s">
        <v>5</v>
      </c>
      <c r="B5" s="5">
        <f>Produktivitas!A5</f>
        <v>134.20118343195267</v>
      </c>
      <c r="C5" s="5">
        <f>Produktivitas!B5</f>
        <v>147.62130177514794</v>
      </c>
      <c r="D5" s="4">
        <v>0.72897661166468097</v>
      </c>
      <c r="E5" s="19">
        <f t="shared" si="0"/>
        <v>5.4319685789828518E-3</v>
      </c>
      <c r="F5" s="19">
        <f t="shared" si="1"/>
        <v>4.9381532536207744E-3</v>
      </c>
      <c r="G5" s="15">
        <f>'Fuel Burn'!B5*'Fuel Burn'!C5</f>
        <v>275.99999999999977</v>
      </c>
      <c r="H5" s="4">
        <v>4</v>
      </c>
      <c r="I5">
        <f t="shared" si="2"/>
        <v>4.9381532536207744E-4</v>
      </c>
    </row>
    <row r="6" spans="1:9" x14ac:dyDescent="0.35">
      <c r="A6" s="4" t="s">
        <v>6</v>
      </c>
      <c r="B6" s="5">
        <f>Produktivitas!A6</f>
        <v>124.35915010281015</v>
      </c>
      <c r="C6" s="5">
        <f>Produktivitas!B6</f>
        <v>136.79506511309117</v>
      </c>
      <c r="D6" s="4">
        <v>0.513197255027115</v>
      </c>
      <c r="E6" s="19">
        <f t="shared" si="0"/>
        <v>4.1267349817270763E-3</v>
      </c>
      <c r="F6" s="19">
        <f t="shared" si="1"/>
        <v>3.7515772561155241E-3</v>
      </c>
      <c r="G6" s="15">
        <f>'Fuel Burn'!B6*'Fuel Burn'!C6</f>
        <v>236</v>
      </c>
      <c r="H6" s="4">
        <v>5</v>
      </c>
      <c r="I6">
        <f t="shared" si="2"/>
        <v>3.7515772561155228E-4</v>
      </c>
    </row>
    <row r="7" spans="1:9" x14ac:dyDescent="0.35">
      <c r="A7" s="4" t="s">
        <v>7</v>
      </c>
      <c r="B7" s="5">
        <f>Produktivitas!A7</f>
        <v>135.40298507462688</v>
      </c>
      <c r="C7" s="5">
        <f>Produktivitas!B7</f>
        <v>148.94328358208958</v>
      </c>
      <c r="D7" s="4">
        <v>0.80332290536476203</v>
      </c>
      <c r="E7" s="19">
        <f t="shared" si="0"/>
        <v>5.9328300991445156E-3</v>
      </c>
      <c r="F7" s="19">
        <f t="shared" si="1"/>
        <v>5.3934819083131958E-3</v>
      </c>
      <c r="G7" s="15">
        <f>'Fuel Burn'!B7*'Fuel Burn'!C7</f>
        <v>332.99999999999989</v>
      </c>
      <c r="H7" s="4">
        <v>6</v>
      </c>
      <c r="I7">
        <f t="shared" si="2"/>
        <v>5.3934819083131975E-4</v>
      </c>
    </row>
    <row r="8" spans="1:9" x14ac:dyDescent="0.35">
      <c r="A8" s="4" t="s">
        <v>8</v>
      </c>
      <c r="B8" s="5">
        <f>Produktivitas!A8</f>
        <v>131.66908563134979</v>
      </c>
      <c r="C8" s="5">
        <f>Produktivitas!B8</f>
        <v>144.83599419448475</v>
      </c>
      <c r="D8" s="4">
        <v>0.73152883376528999</v>
      </c>
      <c r="E8" s="19">
        <f t="shared" si="0"/>
        <v>5.5558131224017282E-3</v>
      </c>
      <c r="F8" s="19">
        <f t="shared" si="1"/>
        <v>5.0507392021833901E-3</v>
      </c>
      <c r="G8" s="15">
        <f>'Fuel Burn'!B8*'Fuel Burn'!C8</f>
        <v>218.99999999999991</v>
      </c>
      <c r="H8" s="4">
        <v>7</v>
      </c>
      <c r="I8">
        <f t="shared" si="2"/>
        <v>5.0507392021833814E-4</v>
      </c>
    </row>
    <row r="9" spans="1:9" x14ac:dyDescent="0.35">
      <c r="A9" s="4" t="s">
        <v>9</v>
      </c>
      <c r="B9" s="5">
        <f>Produktivitas!A9</f>
        <v>129.50749464668095</v>
      </c>
      <c r="C9" s="5">
        <f>Produktivitas!B9</f>
        <v>142.45824411134905</v>
      </c>
      <c r="D9" s="4">
        <v>0.72863834927192395</v>
      </c>
      <c r="E9" s="19">
        <f t="shared" si="0"/>
        <v>5.6262253490408139E-3</v>
      </c>
      <c r="F9" s="19">
        <f t="shared" si="1"/>
        <v>5.1147503173098316E-3</v>
      </c>
      <c r="G9" s="15">
        <f>'Fuel Burn'!B9*'Fuel Burn'!C9</f>
        <v>322.99999999999949</v>
      </c>
      <c r="H9" s="4">
        <v>8</v>
      </c>
      <c r="I9">
        <f t="shared" si="2"/>
        <v>5.1147503173098238E-4</v>
      </c>
    </row>
    <row r="10" spans="1:9" x14ac:dyDescent="0.35">
      <c r="A10" s="4" t="s">
        <v>10</v>
      </c>
      <c r="B10" s="5">
        <f>Produktivitas!A10</f>
        <v>130.81470800288395</v>
      </c>
      <c r="C10" s="5">
        <f>Produktivitas!B10</f>
        <v>143.89617880317235</v>
      </c>
      <c r="D10" s="4">
        <v>0.72151266047563201</v>
      </c>
      <c r="E10" s="19">
        <f t="shared" si="0"/>
        <v>5.5155316362417404E-3</v>
      </c>
      <c r="F10" s="19">
        <f t="shared" si="1"/>
        <v>5.0141196693106729E-3</v>
      </c>
      <c r="G10" s="15">
        <f>'Fuel Burn'!B10*'Fuel Burn'!C10</f>
        <v>279.99999999999932</v>
      </c>
      <c r="H10" s="4">
        <v>9</v>
      </c>
      <c r="I10" s="18">
        <f t="shared" si="2"/>
        <v>5.0141196693106755E-4</v>
      </c>
    </row>
    <row r="11" spans="1:9" x14ac:dyDescent="0.35">
      <c r="A11" s="4" t="s">
        <v>11</v>
      </c>
      <c r="B11" s="5">
        <f>Produktivitas!A11</f>
        <v>115.71428571428574</v>
      </c>
      <c r="C11" s="5">
        <f>Produktivitas!B11</f>
        <v>127.28571428571431</v>
      </c>
      <c r="D11" s="4">
        <v>0.47822129248692902</v>
      </c>
      <c r="E11" s="19">
        <f t="shared" si="0"/>
        <v>4.1327766017388917E-3</v>
      </c>
      <c r="F11" s="19">
        <f t="shared" si="1"/>
        <v>3.7570696379444473E-3</v>
      </c>
      <c r="G11" s="15">
        <f>'Fuel Burn'!B11*'Fuel Burn'!C11</f>
        <v>163.00000000000003</v>
      </c>
      <c r="H11" s="4">
        <v>10</v>
      </c>
      <c r="I11">
        <f t="shared" si="2"/>
        <v>3.7570696379444438E-4</v>
      </c>
    </row>
    <row r="12" spans="1:9" x14ac:dyDescent="0.35">
      <c r="A12" s="4" t="s">
        <v>12</v>
      </c>
      <c r="B12" s="5">
        <f>Produktivitas!A12</f>
        <v>136.11402850712679</v>
      </c>
      <c r="C12" s="5">
        <f>Produktivitas!B12</f>
        <v>149.72543135783945</v>
      </c>
      <c r="D12" s="4">
        <v>0.64278595153959095</v>
      </c>
      <c r="E12" s="19">
        <f t="shared" si="0"/>
        <v>4.7224078119613901E-3</v>
      </c>
      <c r="F12" s="19">
        <f t="shared" si="1"/>
        <v>4.2930980108739913E-3</v>
      </c>
      <c r="G12" s="15">
        <f>'Fuel Burn'!B12*'Fuel Burn'!C12</f>
        <v>199.99999999999966</v>
      </c>
      <c r="H12" s="4">
        <v>11</v>
      </c>
      <c r="I12">
        <f t="shared" si="2"/>
        <v>4.2930980108739879E-4</v>
      </c>
    </row>
    <row r="13" spans="1:9" x14ac:dyDescent="0.35">
      <c r="A13" s="4" t="s">
        <v>13</v>
      </c>
      <c r="B13" s="5">
        <f>Produktivitas!A13</f>
        <v>114.11320754716981</v>
      </c>
      <c r="C13" s="5">
        <f>Produktivitas!B13</f>
        <v>125.52452830188679</v>
      </c>
      <c r="D13" s="4">
        <v>0.61509365919950898</v>
      </c>
      <c r="E13" s="19">
        <f t="shared" si="0"/>
        <v>5.3902056775089252E-3</v>
      </c>
      <c r="F13" s="19">
        <f t="shared" si="1"/>
        <v>4.9001869795535676E-3</v>
      </c>
      <c r="G13" s="15">
        <f>'Fuel Burn'!B13*'Fuel Burn'!C13</f>
        <v>175.00000000000026</v>
      </c>
      <c r="H13" s="4">
        <v>12</v>
      </c>
      <c r="I13">
        <f t="shared" si="2"/>
        <v>4.9001869795535762E-4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7649-E558-40DD-94CE-F23FBB2CAB84}">
  <dimension ref="A1:S6"/>
  <sheetViews>
    <sheetView workbookViewId="0">
      <selection activeCell="J3" sqref="J3"/>
    </sheetView>
  </sheetViews>
  <sheetFormatPr defaultRowHeight="14.5" x14ac:dyDescent="0.35"/>
  <sheetData>
    <row r="1" spans="1:19" x14ac:dyDescent="0.35">
      <c r="A1" t="s">
        <v>22</v>
      </c>
      <c r="B1" t="s">
        <v>23</v>
      </c>
      <c r="C1" t="s">
        <v>24</v>
      </c>
      <c r="D1" t="s">
        <v>25</v>
      </c>
      <c r="E1" t="s">
        <v>56</v>
      </c>
      <c r="F1" t="s">
        <v>57</v>
      </c>
      <c r="G1" t="s">
        <v>58</v>
      </c>
      <c r="H1" t="s">
        <v>59</v>
      </c>
      <c r="I1" t="s">
        <v>31</v>
      </c>
      <c r="J1" t="s">
        <v>43</v>
      </c>
      <c r="K1" t="s">
        <v>60</v>
      </c>
      <c r="L1" t="s">
        <v>61</v>
      </c>
      <c r="M1" t="s">
        <v>62</v>
      </c>
      <c r="N1" t="s">
        <v>63</v>
      </c>
      <c r="O1" t="s">
        <v>44</v>
      </c>
      <c r="P1" t="s">
        <v>64</v>
      </c>
      <c r="Q1" t="s">
        <v>65</v>
      </c>
      <c r="R1" t="s">
        <v>66</v>
      </c>
      <c r="S1" t="s">
        <v>67</v>
      </c>
    </row>
    <row r="2" spans="1:19" x14ac:dyDescent="0.35">
      <c r="A2" t="s">
        <v>26</v>
      </c>
      <c r="B2">
        <v>11.3</v>
      </c>
      <c r="C2">
        <v>40.4</v>
      </c>
      <c r="D2">
        <v>0</v>
      </c>
      <c r="E2">
        <v>0</v>
      </c>
      <c r="F2">
        <v>0</v>
      </c>
      <c r="G2">
        <v>0</v>
      </c>
      <c r="H2">
        <v>0</v>
      </c>
      <c r="I2">
        <f t="shared" ref="I2:I6" si="0">D2/C2</f>
        <v>0</v>
      </c>
      <c r="J2">
        <f>(Parameter!$D$9*COS(Grade!D2)*(Parameter!$D$10+Parameter!$D$11))+(Parameter!$D$9*SIN(Grade!D2))</f>
        <v>2.2072500000000002</v>
      </c>
      <c r="K2">
        <f>(Parameter!$D$9*COS(Grade!E2)*(Parameter!$D$10+Parameter!$D$11))+(Parameter!$D$9*SIN(Grade!E2))</f>
        <v>2.2072500000000002</v>
      </c>
      <c r="L2">
        <f>(Parameter!$D$9*COS(Grade!F2)*(Parameter!$D$10+Parameter!$D$11))+(Parameter!$D$9*SIN(Grade!F2))</f>
        <v>2.2072500000000002</v>
      </c>
      <c r="M2">
        <f>(Parameter!$D$9*COS(Grade!G2)*(Parameter!$D$10+Parameter!$D$11))+(Parameter!$D$9*SIN(Grade!G2))</f>
        <v>2.2072500000000002</v>
      </c>
      <c r="N2">
        <f>(Parameter!$D$9*COS(Grade!H2)*(Parameter!$D$10+Parameter!$D$11))+(Parameter!$D$9*SIN(Grade!H2))</f>
        <v>2.2072500000000002</v>
      </c>
      <c r="O2">
        <f>(Parameter!$D$9*COS(Grade!D2)*(Parameter!$D$10+Parameter!$D$11))-(Parameter!$D$9*SIN(Grade!D2))</f>
        <v>2.2072500000000002</v>
      </c>
      <c r="P2">
        <f>(Parameter!$D$9*COS(Grade!E2)*(Parameter!$D$10+Parameter!$D$11))-(Parameter!$D$9*SIN(Grade!E2))</f>
        <v>2.2072500000000002</v>
      </c>
      <c r="Q2">
        <f>(Parameter!$D$9*COS(Grade!F2)*(Parameter!$D$10+Parameter!$D$11))-(Parameter!$D$9*SIN(Grade!F2))</f>
        <v>2.2072500000000002</v>
      </c>
      <c r="R2">
        <f>(Parameter!$D$9*COS(Grade!G2)*(Parameter!$D$10+Parameter!$D$11))-(Parameter!$D$9*SIN(Grade!G2))</f>
        <v>2.2072500000000002</v>
      </c>
      <c r="S2">
        <f>(Parameter!$D$9*COS(Grade!H2)*(Parameter!$D$10+Parameter!$D$11))-(Parameter!$D$9*SIN(Grade!H2))</f>
        <v>2.2072500000000002</v>
      </c>
    </row>
    <row r="3" spans="1:19" x14ac:dyDescent="0.35">
      <c r="A3" t="s">
        <v>27</v>
      </c>
      <c r="B3">
        <v>7.6</v>
      </c>
      <c r="C3">
        <v>128.30000000000001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si="0"/>
        <v>0</v>
      </c>
      <c r="J3">
        <f>(Parameter!$D$9*COS(Grade!D3)*(Parameter!$D$10+Parameter!$D$11))+(Parameter!$D$9*SIN(Grade!D3))</f>
        <v>2.2072500000000002</v>
      </c>
      <c r="K3">
        <f>(Parameter!$D$9*COS(Grade!E3)*(Parameter!$D$10+Parameter!$D$11))+(Parameter!$D$9*SIN(Grade!E3))</f>
        <v>2.2072500000000002</v>
      </c>
      <c r="L3">
        <f>(Parameter!$D$9*COS(Grade!F3)*(Parameter!$D$10+Parameter!$D$11))+(Parameter!$D$9*SIN(Grade!F3))</f>
        <v>2.2072500000000002</v>
      </c>
      <c r="M3">
        <f>(Parameter!$D$9*COS(Grade!G3)*(Parameter!$D$10+Parameter!$D$11))+(Parameter!$D$9*SIN(Grade!G3))</f>
        <v>2.2072500000000002</v>
      </c>
      <c r="N3">
        <f>(Parameter!$D$9*COS(Grade!H3)*(Parameter!$D$10+Parameter!$D$11))+(Parameter!$D$9*SIN(Grade!H3))</f>
        <v>2.2072500000000002</v>
      </c>
      <c r="O3">
        <f>(Parameter!$D$9*COS(Grade!D3)*(Parameter!$D$10+Parameter!$D$11))-(Parameter!$D$9*SIN(Grade!D3))</f>
        <v>2.2072500000000002</v>
      </c>
      <c r="P3">
        <f>(Parameter!$D$9*COS(Grade!E3)*(Parameter!$D$10+Parameter!$D$11))-(Parameter!$D$9*SIN(Grade!E3))</f>
        <v>2.2072500000000002</v>
      </c>
      <c r="Q3">
        <f>(Parameter!$D$9*COS(Grade!F3)*(Parameter!$D$10+Parameter!$D$11))-(Parameter!$D$9*SIN(Grade!F3))</f>
        <v>2.2072500000000002</v>
      </c>
      <c r="R3">
        <f>(Parameter!$D$9*COS(Grade!G3)*(Parameter!$D$10+Parameter!$D$11))-(Parameter!$D$9*SIN(Grade!G3))</f>
        <v>2.2072500000000002</v>
      </c>
      <c r="S3">
        <f>(Parameter!$D$9*COS(Grade!H3)*(Parameter!$D$10+Parameter!$D$11))-(Parameter!$D$9*SIN(Grade!H3))</f>
        <v>2.2072500000000002</v>
      </c>
    </row>
    <row r="4" spans="1:19" x14ac:dyDescent="0.35">
      <c r="A4" t="s">
        <v>28</v>
      </c>
      <c r="B4">
        <v>9</v>
      </c>
      <c r="C4">
        <v>33</v>
      </c>
      <c r="D4">
        <v>11.22</v>
      </c>
      <c r="E4">
        <f>C4*0.1</f>
        <v>3.3000000000000003</v>
      </c>
      <c r="F4">
        <f>C4*0.2</f>
        <v>6.6000000000000005</v>
      </c>
      <c r="G4">
        <f>C4*0.3</f>
        <v>9.9</v>
      </c>
      <c r="H4">
        <f>C4*0.4</f>
        <v>13.200000000000001</v>
      </c>
      <c r="I4">
        <f>D4/C4</f>
        <v>0.34</v>
      </c>
      <c r="J4">
        <f>(Parameter!$D$9*COS(Grade!D4)*(Parameter!$D$10+Parameter!$D$11))+(Parameter!$D$9*SIN(Grade!D4))</f>
        <v>-9.0727697499315241</v>
      </c>
      <c r="K4">
        <f>(Parameter!$D$9*COS(Grade!E4)*(Parameter!$D$10+Parameter!$D$11))+(Parameter!$D$9*SIN(Grade!E4))</f>
        <v>-3.7270999816766115</v>
      </c>
      <c r="L4">
        <f>(Parameter!$D$9*COS(Grade!F4)*(Parameter!$D$10+Parameter!$D$11))+(Parameter!$D$9*SIN(Grade!F4))</f>
        <v>5.1536216646667086</v>
      </c>
      <c r="M4">
        <f>(Parameter!$D$9*COS(Grade!G4)*(Parameter!$D$10+Parameter!$D$11))+(Parameter!$D$9*SIN(Grade!G4))</f>
        <v>-6.4510942895682302</v>
      </c>
      <c r="N4">
        <f>(Parameter!$D$9*COS(Grade!H4)*(Parameter!$D$10+Parameter!$D$11))+(Parameter!$D$9*SIN(Grade!H4))</f>
        <v>7.5870285447797547</v>
      </c>
      <c r="O4">
        <f>(Parameter!$D$9*COS(Grade!D4)*(Parameter!$D$10+Parameter!$D$11))-(Parameter!$D$9*SIN(Grade!D4))</f>
        <v>10.055201332621415</v>
      </c>
      <c r="P4">
        <f>(Parameter!$D$9*COS(Grade!E4)*(Parameter!$D$10+Parameter!$D$11))-(Parameter!$D$9*SIN(Grade!E4))</f>
        <v>-0.63212946258607294</v>
      </c>
      <c r="Q4">
        <f>(Parameter!$D$9*COS(Grade!F4)*(Parameter!$D$10+Parameter!$D$11))-(Parameter!$D$9*SIN(Grade!F4))</f>
        <v>-0.9588198874657814</v>
      </c>
      <c r="R4">
        <f>(Parameter!$D$9*COS(Grade!G4)*(Parameter!$D$10+Parameter!$D$11))-(Parameter!$D$9*SIN(Grade!G4))</f>
        <v>2.5257599463035749</v>
      </c>
      <c r="S4">
        <f>(Parameter!$D$9*COS(Grade!H4)*(Parameter!$D$10+Parameter!$D$11))-(Parameter!$D$9*SIN(Grade!H4))</f>
        <v>-4.0294538137759899</v>
      </c>
    </row>
    <row r="5" spans="1:19" x14ac:dyDescent="0.35">
      <c r="A5" t="s">
        <v>29</v>
      </c>
      <c r="B5">
        <v>10.5</v>
      </c>
      <c r="C5">
        <v>150.69999999999999</v>
      </c>
      <c r="D5">
        <v>0</v>
      </c>
      <c r="E5">
        <v>0</v>
      </c>
      <c r="F5">
        <v>0</v>
      </c>
      <c r="G5">
        <v>0</v>
      </c>
      <c r="H5">
        <v>0</v>
      </c>
      <c r="I5">
        <f t="shared" si="0"/>
        <v>0</v>
      </c>
      <c r="J5">
        <f>(Parameter!$D$9*COS(Grade!D5)*(Parameter!$D$10+Parameter!$D$11))+(Parameter!$D$9*SIN(Grade!D5))</f>
        <v>2.2072500000000002</v>
      </c>
      <c r="K5">
        <f>(Parameter!$D$9*COS(Grade!E5)*(Parameter!$D$10+Parameter!$D$11))+(Parameter!$D$9*SIN(Grade!E5))</f>
        <v>2.2072500000000002</v>
      </c>
      <c r="L5">
        <f>(Parameter!$D$9*COS(Grade!F5)*(Parameter!$D$10+Parameter!$D$11))+(Parameter!$D$9*SIN(Grade!F5))</f>
        <v>2.2072500000000002</v>
      </c>
      <c r="M5">
        <f>(Parameter!$D$9*COS(Grade!G5)*(Parameter!$D$10+Parameter!$D$11))+(Parameter!$D$9*SIN(Grade!G5))</f>
        <v>2.2072500000000002</v>
      </c>
      <c r="N5">
        <f>(Parameter!$D$9*COS(Grade!H5)*(Parameter!$D$10+Parameter!$D$11))+(Parameter!$D$9*SIN(Grade!H5))</f>
        <v>2.2072500000000002</v>
      </c>
      <c r="O5">
        <f>(Parameter!$D$9*COS(Grade!D5)*(Parameter!$D$10+Parameter!$D$11))-(Parameter!$D$9*SIN(Grade!D5))</f>
        <v>2.2072500000000002</v>
      </c>
      <c r="P5">
        <f>(Parameter!$D$9*COS(Grade!E5)*(Parameter!$D$10+Parameter!$D$11))-(Parameter!$D$9*SIN(Grade!E5))</f>
        <v>2.2072500000000002</v>
      </c>
      <c r="Q5">
        <f>(Parameter!$D$9*COS(Grade!F5)*(Parameter!$D$10+Parameter!$D$11))-(Parameter!$D$9*SIN(Grade!F5))</f>
        <v>2.2072500000000002</v>
      </c>
      <c r="R5">
        <f>(Parameter!$D$9*COS(Grade!G5)*(Parameter!$D$10+Parameter!$D$11))-(Parameter!$D$9*SIN(Grade!G5))</f>
        <v>2.2072500000000002</v>
      </c>
      <c r="S5">
        <f>(Parameter!$D$9*COS(Grade!H5)*(Parameter!$D$10+Parameter!$D$11))-(Parameter!$D$9*SIN(Grade!H5))</f>
        <v>2.2072500000000002</v>
      </c>
    </row>
    <row r="6" spans="1:19" x14ac:dyDescent="0.35">
      <c r="A6" t="s">
        <v>30</v>
      </c>
      <c r="B6">
        <v>69</v>
      </c>
      <c r="C6">
        <v>452.4</v>
      </c>
      <c r="D6">
        <v>0</v>
      </c>
      <c r="E6">
        <v>0</v>
      </c>
      <c r="F6">
        <v>0</v>
      </c>
      <c r="G6">
        <v>0</v>
      </c>
      <c r="H6">
        <v>0</v>
      </c>
      <c r="I6">
        <f t="shared" si="0"/>
        <v>0</v>
      </c>
      <c r="J6">
        <f>(Parameter!$D$9*COS(Grade!D6)*(Parameter!$D$10+Parameter!$D$11))+(Parameter!$D$9*SIN(Grade!D6))</f>
        <v>2.2072500000000002</v>
      </c>
      <c r="K6">
        <f>(Parameter!$D$9*COS(Grade!E6)*(Parameter!$D$10+Parameter!$D$11))+(Parameter!$D$9*SIN(Grade!E6))</f>
        <v>2.2072500000000002</v>
      </c>
      <c r="L6">
        <f>(Parameter!$D$9*COS(Grade!F6)*(Parameter!$D$10+Parameter!$D$11))+(Parameter!$D$9*SIN(Grade!F6))</f>
        <v>2.2072500000000002</v>
      </c>
      <c r="M6">
        <f>(Parameter!$D$9*COS(Grade!G6)*(Parameter!$D$10+Parameter!$D$11))+(Parameter!$D$9*SIN(Grade!G6))</f>
        <v>2.2072500000000002</v>
      </c>
      <c r="N6">
        <f>(Parameter!$D$9*COS(Grade!H6)*(Parameter!$D$10+Parameter!$D$11))+(Parameter!$D$9*SIN(Grade!H6))</f>
        <v>2.2072500000000002</v>
      </c>
      <c r="O6">
        <f>(Parameter!$D$9*COS(Grade!D6)*(Parameter!$D$10+Parameter!$D$11))-(Parameter!$D$9*SIN(Grade!D6))</f>
        <v>2.2072500000000002</v>
      </c>
      <c r="P6">
        <f>(Parameter!$D$9*COS(Grade!E6)*(Parameter!$D$10+Parameter!$D$11))-(Parameter!$D$9*SIN(Grade!E6))</f>
        <v>2.2072500000000002</v>
      </c>
      <c r="Q6">
        <f>(Parameter!$D$9*COS(Grade!F6)*(Parameter!$D$10+Parameter!$D$11))-(Parameter!$D$9*SIN(Grade!F6))</f>
        <v>2.2072500000000002</v>
      </c>
      <c r="R6">
        <f>(Parameter!$D$9*COS(Grade!G6)*(Parameter!$D$10+Parameter!$D$11))-(Parameter!$D$9*SIN(Grade!G6))</f>
        <v>2.2072500000000002</v>
      </c>
      <c r="S6">
        <f>(Parameter!$D$9*COS(Grade!H6)*(Parameter!$D$10+Parameter!$D$11))-(Parameter!$D$9*SIN(Grade!H6))</f>
        <v>2.2072500000000002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3649-1C43-40B7-A2B9-A763E193F998}">
  <dimension ref="A1:E12"/>
  <sheetViews>
    <sheetView workbookViewId="0">
      <selection sqref="A1:E12"/>
    </sheetView>
  </sheetViews>
  <sheetFormatPr defaultRowHeight="14.5" x14ac:dyDescent="0.35"/>
  <cols>
    <col min="1" max="1" width="40" customWidth="1"/>
    <col min="2" max="2" width="7.36328125" bestFit="1" customWidth="1"/>
    <col min="3" max="3" width="9.54296875" bestFit="1" customWidth="1"/>
  </cols>
  <sheetData>
    <row r="1" spans="1:5" x14ac:dyDescent="0.35">
      <c r="A1" s="16" t="s">
        <v>55</v>
      </c>
      <c r="B1" s="4" t="s">
        <v>99</v>
      </c>
      <c r="C1" s="4" t="s">
        <v>95</v>
      </c>
      <c r="D1" s="4" t="s">
        <v>114</v>
      </c>
      <c r="E1" s="4" t="s">
        <v>115</v>
      </c>
    </row>
    <row r="2" spans="1:5" x14ac:dyDescent="0.35">
      <c r="A2" s="17" t="s">
        <v>96</v>
      </c>
      <c r="B2" s="4" t="s">
        <v>100</v>
      </c>
      <c r="C2" s="4" t="s">
        <v>41</v>
      </c>
      <c r="D2" s="4">
        <v>0.8</v>
      </c>
      <c r="E2" s="4">
        <v>0.9</v>
      </c>
    </row>
    <row r="3" spans="1:5" x14ac:dyDescent="0.35">
      <c r="A3" s="17" t="s">
        <v>101</v>
      </c>
      <c r="B3" s="4" t="s">
        <v>102</v>
      </c>
      <c r="C3" s="4" t="s">
        <v>40</v>
      </c>
      <c r="D3" s="4">
        <v>1.222</v>
      </c>
      <c r="E3" s="4"/>
    </row>
    <row r="4" spans="1:5" x14ac:dyDescent="0.35">
      <c r="A4" s="17" t="s">
        <v>103</v>
      </c>
      <c r="B4" s="4" t="s">
        <v>104</v>
      </c>
      <c r="C4" s="4" t="s">
        <v>39</v>
      </c>
      <c r="D4" s="4">
        <v>5.25</v>
      </c>
      <c r="E4" s="4"/>
    </row>
    <row r="5" spans="1:5" ht="43.5" x14ac:dyDescent="0.35">
      <c r="A5" s="17" t="s">
        <v>105</v>
      </c>
      <c r="B5" s="4" t="s">
        <v>106</v>
      </c>
      <c r="C5" s="4" t="s">
        <v>38</v>
      </c>
      <c r="D5" s="4">
        <v>45</v>
      </c>
      <c r="E5" s="4"/>
    </row>
    <row r="6" spans="1:5" ht="29" x14ac:dyDescent="0.35">
      <c r="A6" s="17" t="s">
        <v>107</v>
      </c>
      <c r="B6" s="4" t="s">
        <v>106</v>
      </c>
      <c r="C6" s="4" t="s">
        <v>37</v>
      </c>
      <c r="D6" s="4">
        <v>55</v>
      </c>
      <c r="E6" s="4"/>
    </row>
    <row r="7" spans="1:5" x14ac:dyDescent="0.35">
      <c r="A7" s="17" t="s">
        <v>108</v>
      </c>
      <c r="B7" s="4" t="s">
        <v>109</v>
      </c>
      <c r="C7" s="4" t="s">
        <v>36</v>
      </c>
      <c r="D7" s="4">
        <v>98750</v>
      </c>
      <c r="E7" s="4"/>
    </row>
    <row r="8" spans="1:5" x14ac:dyDescent="0.35">
      <c r="A8" s="17" t="s">
        <v>110</v>
      </c>
      <c r="B8" s="4" t="s">
        <v>109</v>
      </c>
      <c r="C8" s="4" t="s">
        <v>35</v>
      </c>
      <c r="D8" s="4">
        <v>43750</v>
      </c>
      <c r="E8" s="4"/>
    </row>
    <row r="9" spans="1:5" x14ac:dyDescent="0.35">
      <c r="A9" s="17" t="s">
        <v>111</v>
      </c>
      <c r="B9" s="4" t="s">
        <v>112</v>
      </c>
      <c r="C9" s="4" t="s">
        <v>34</v>
      </c>
      <c r="D9" s="4">
        <v>9.81</v>
      </c>
      <c r="E9" s="4"/>
    </row>
    <row r="10" spans="1:5" x14ac:dyDescent="0.35">
      <c r="A10" s="4" t="s">
        <v>97</v>
      </c>
      <c r="B10" s="4" t="s">
        <v>100</v>
      </c>
      <c r="C10" s="4" t="s">
        <v>33</v>
      </c>
      <c r="D10" s="4">
        <v>0.2</v>
      </c>
      <c r="E10" s="4">
        <v>0.3</v>
      </c>
    </row>
    <row r="11" spans="1:5" x14ac:dyDescent="0.35">
      <c r="A11" s="17" t="s">
        <v>98</v>
      </c>
      <c r="B11" s="4" t="s">
        <v>100</v>
      </c>
      <c r="C11" s="4" t="s">
        <v>32</v>
      </c>
      <c r="D11" s="4">
        <v>2.5000000000000001E-2</v>
      </c>
      <c r="E11" s="4">
        <v>0.03</v>
      </c>
    </row>
    <row r="12" spans="1:5" x14ac:dyDescent="0.35">
      <c r="A12" s="17" t="s">
        <v>113</v>
      </c>
      <c r="B12" s="4" t="s">
        <v>106</v>
      </c>
      <c r="C12" s="4" t="s">
        <v>42</v>
      </c>
      <c r="D12" s="4">
        <f>(D2*D3*D4)/2</f>
        <v>2.5662000000000003</v>
      </c>
      <c r="E1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FAE9-0271-4E87-A3F6-BF2365652CE7}">
  <dimension ref="A1:C6"/>
  <sheetViews>
    <sheetView workbookViewId="0">
      <selection sqref="A1:C6"/>
    </sheetView>
  </sheetViews>
  <sheetFormatPr defaultRowHeight="14.5" x14ac:dyDescent="0.35"/>
  <cols>
    <col min="1" max="1" width="7.36328125" bestFit="1" customWidth="1"/>
    <col min="2" max="2" width="16.54296875" bestFit="1" customWidth="1"/>
    <col min="3" max="3" width="18.1796875" bestFit="1" customWidth="1"/>
  </cols>
  <sheetData>
    <row r="1" spans="1:3" x14ac:dyDescent="0.35">
      <c r="A1" s="4" t="s">
        <v>22</v>
      </c>
      <c r="B1" s="4" t="s">
        <v>45</v>
      </c>
      <c r="C1" s="4" t="s">
        <v>46</v>
      </c>
    </row>
    <row r="2" spans="1:3" x14ac:dyDescent="0.35">
      <c r="A2" s="4" t="s">
        <v>26</v>
      </c>
      <c r="B2" s="4">
        <v>40</v>
      </c>
      <c r="C2" s="4">
        <v>50</v>
      </c>
    </row>
    <row r="3" spans="1:3" x14ac:dyDescent="0.35">
      <c r="A3" s="4" t="s">
        <v>27</v>
      </c>
      <c r="B3" s="4">
        <v>40</v>
      </c>
      <c r="C3" s="4">
        <v>50</v>
      </c>
    </row>
    <row r="4" spans="1:3" x14ac:dyDescent="0.35">
      <c r="A4" s="4" t="s">
        <v>28</v>
      </c>
      <c r="B4" s="4">
        <v>30</v>
      </c>
      <c r="C4" s="4">
        <v>40</v>
      </c>
    </row>
    <row r="5" spans="1:3" x14ac:dyDescent="0.35">
      <c r="A5" s="4" t="s">
        <v>29</v>
      </c>
      <c r="B5" s="4">
        <v>40</v>
      </c>
      <c r="C5" s="4">
        <v>50</v>
      </c>
    </row>
    <row r="6" spans="1:3" x14ac:dyDescent="0.35">
      <c r="A6" s="4" t="s">
        <v>30</v>
      </c>
      <c r="B6" s="4">
        <v>45</v>
      </c>
      <c r="C6" s="4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A12A-2EE8-4BF3-BC5A-AA95AE26BD2D}">
  <dimension ref="A1:BB9"/>
  <sheetViews>
    <sheetView workbookViewId="0">
      <selection activeCell="H6" sqref="H6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Ratio'!$D$2</f>
        <v>0</v>
      </c>
      <c r="J3">
        <f>H3*'Fuel Ratio'!$D$2</f>
        <v>0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Ratio'!$D$2</f>
        <v>0</v>
      </c>
      <c r="U3">
        <f>S3*'Fuel Ratio'!$D$2</f>
        <v>0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Ratio'!$D$2</f>
        <v>0</v>
      </c>
      <c r="AF3">
        <f>AD3*'Fuel Ratio'!$D$2</f>
        <v>0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Ratio'!$D$2</f>
        <v>0</v>
      </c>
      <c r="AQ3">
        <f>AO3*'Fuel Ratio'!$D$2</f>
        <v>0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Ratio'!$D$2</f>
        <v>0</v>
      </c>
      <c r="BB3">
        <f>AZ3*'Fuel Ratio'!$D$2</f>
        <v>0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G7" si="0">C4/$C$9</f>
        <v>0.12127769677286082</v>
      </c>
      <c r="H4">
        <f t="shared" ref="H4:H7" si="1">D4/$C$9</f>
        <v>0.13242788263950472</v>
      </c>
      <c r="I4">
        <f>G4*'Fuel Ratio'!$D$2</f>
        <v>0</v>
      </c>
      <c r="J4">
        <f>H4*'Fuel Ratio'!$D$2</f>
        <v>0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R7" si="2">N4/$N$9</f>
        <v>0.10435257087187441</v>
      </c>
      <c r="S4">
        <f t="shared" ref="S4:S7" si="3">O4/$N$9</f>
        <v>0.14709209627795725</v>
      </c>
      <c r="T4">
        <f>R4*'Fuel Ratio'!$D$2</f>
        <v>0</v>
      </c>
      <c r="U4">
        <f>S4*'Fuel Ratio'!$D$2</f>
        <v>0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C7" si="4">Y4/$Y$9</f>
        <v>8.479600164594947E-2</v>
      </c>
      <c r="AD4">
        <f t="shared" ref="AD4:AD7" si="5">Z4/$Y$9</f>
        <v>0.11952577242592451</v>
      </c>
      <c r="AE4">
        <f>AC4*'Fuel Ratio'!$D$2</f>
        <v>0</v>
      </c>
      <c r="AF4">
        <f>AD4*'Fuel Ratio'!$D$2</f>
        <v>0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N7" si="6">AJ4/$AJ$9</f>
        <v>0.10314591551412161</v>
      </c>
      <c r="AO4">
        <f t="shared" ref="AO4:AO7" si="7">AK4/$AJ$9</f>
        <v>0.1453912329012915</v>
      </c>
      <c r="AP4">
        <f>AN4*'Fuel Ratio'!$D$2</f>
        <v>0</v>
      </c>
      <c r="AQ4">
        <f>AO4*'Fuel Ratio'!$D$2</f>
        <v>0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Y7" si="8">AU4/$AU$9</f>
        <v>8.5996589973190388E-2</v>
      </c>
      <c r="AZ4">
        <f t="shared" ref="AZ4:AZ7" si="9">AV4/$AU$9</f>
        <v>0.12121808390752223</v>
      </c>
      <c r="BA4">
        <f>AY4*'Fuel Ratio'!$D$2</f>
        <v>0</v>
      </c>
      <c r="BB4">
        <f>AZ4*'Fuel Ratio'!$D$2</f>
        <v>0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1"/>
        <v>0.19170492172608522</v>
      </c>
      <c r="I5">
        <f>G5*'Fuel Ratio'!$D$2</f>
        <v>0</v>
      </c>
      <c r="J5">
        <f>H5*'Fuel Ratio'!$D$2</f>
        <v>0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2"/>
        <v>-8.1571269745781286E-2</v>
      </c>
      <c r="S5">
        <f t="shared" si="3"/>
        <v>2.7798216059296135E-2</v>
      </c>
      <c r="T5">
        <f>R5*'Fuel Ratio'!$D$2</f>
        <v>0</v>
      </c>
      <c r="U5">
        <f>S5*'Fuel Ratio'!$D$2</f>
        <v>0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4"/>
        <v>0.12828188458870435</v>
      </c>
      <c r="AD5">
        <f t="shared" si="5"/>
        <v>1.5431194559401527E-2</v>
      </c>
      <c r="AE5">
        <f>AC5*'Fuel Ratio'!$D$2</f>
        <v>0</v>
      </c>
      <c r="AF5">
        <f>AD5*'Fuel Ratio'!$D$2</f>
        <v>0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6"/>
        <v>-0.15322217653332154</v>
      </c>
      <c r="AO5">
        <f t="shared" si="7"/>
        <v>0.11163416908443727</v>
      </c>
      <c r="AP5">
        <f>AN5*'Fuel Ratio'!$D$2</f>
        <v>0</v>
      </c>
      <c r="AQ5">
        <f>AO5*'Fuel Ratio'!$D$2</f>
        <v>0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8"/>
        <v>0.18416604142595819</v>
      </c>
      <c r="AZ5">
        <f t="shared" si="9"/>
        <v>-5.2576742432443535E-2</v>
      </c>
      <c r="BA5">
        <f>AY5*'Fuel Ratio'!$D$2</f>
        <v>0</v>
      </c>
      <c r="BB5">
        <f>AZ5*'Fuel Ratio'!$D$2</f>
        <v>0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1"/>
        <v>0.13242788263950472</v>
      </c>
      <c r="I6">
        <f>G6*'Fuel Ratio'!$D$2</f>
        <v>0</v>
      </c>
      <c r="J6">
        <f>H6*'Fuel Ratio'!$D$2</f>
        <v>0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2"/>
        <v>0.10435257087187441</v>
      </c>
      <c r="S6">
        <f t="shared" si="3"/>
        <v>0.14709209627795725</v>
      </c>
      <c r="T6">
        <f>R6*'Fuel Ratio'!$D$2</f>
        <v>0</v>
      </c>
      <c r="U6">
        <f>S6*'Fuel Ratio'!$D$2</f>
        <v>0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4"/>
        <v>8.479600164594947E-2</v>
      </c>
      <c r="AD6">
        <f t="shared" si="5"/>
        <v>0.11952577242592451</v>
      </c>
      <c r="AE6">
        <f>AC6*'Fuel Ratio'!$D$2</f>
        <v>0</v>
      </c>
      <c r="AF6">
        <f>AD6*'Fuel Ratio'!$D$2</f>
        <v>0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6"/>
        <v>0.10314591551412161</v>
      </c>
      <c r="AO6">
        <f t="shared" si="7"/>
        <v>0.1453912329012915</v>
      </c>
      <c r="AP6">
        <f>AN6*'Fuel Ratio'!$D$2</f>
        <v>0</v>
      </c>
      <c r="AQ6">
        <f>AO6*'Fuel Ratio'!$D$2</f>
        <v>0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8"/>
        <v>8.5996589973190388E-2</v>
      </c>
      <c r="AZ6">
        <f t="shared" si="9"/>
        <v>0.12121808390752223</v>
      </c>
      <c r="BA6">
        <f>AY6*'Fuel Ratio'!$D$2</f>
        <v>0</v>
      </c>
      <c r="BB6">
        <f>AZ6*'Fuel Ratio'!$D$2</f>
        <v>0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1"/>
        <v>0.16611901862553641</v>
      </c>
      <c r="I7">
        <f>G7*'Fuel Ratio'!$D$2</f>
        <v>0</v>
      </c>
      <c r="J7">
        <f>H7*'Fuel Ratio'!$D$2</f>
        <v>0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2"/>
        <v>0.12335764671843172</v>
      </c>
      <c r="S7">
        <f t="shared" si="3"/>
        <v>0.1760814055185585</v>
      </c>
      <c r="T7">
        <f>R7*'Fuel Ratio'!$D$2</f>
        <v>0</v>
      </c>
      <c r="U7">
        <f>S7*'Fuel Ratio'!$D$2</f>
        <v>0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4"/>
        <v>0.10023936283294656</v>
      </c>
      <c r="AD7">
        <f t="shared" si="5"/>
        <v>0.1430822358033256</v>
      </c>
      <c r="AE7">
        <f>AC7*'Fuel Ratio'!$D$2</f>
        <v>0</v>
      </c>
      <c r="AF7">
        <f>AD7*'Fuel Ratio'!$D$2</f>
        <v>0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6"/>
        <v>0.1219312308276787</v>
      </c>
      <c r="AO7">
        <f t="shared" si="7"/>
        <v>0.17404533137496617</v>
      </c>
      <c r="AP7">
        <f>AN7*'Fuel Ratio'!$D$2</f>
        <v>0</v>
      </c>
      <c r="AQ7">
        <f>AO7*'Fuel Ratio'!$D$2</f>
        <v>0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8"/>
        <v>0.1016586067431699</v>
      </c>
      <c r="AZ7">
        <f t="shared" si="9"/>
        <v>0.14510807262117761</v>
      </c>
      <c r="BA7">
        <f>AY7*'Fuel Ratio'!$D$2</f>
        <v>0</v>
      </c>
      <c r="BB7">
        <f>AZ7*'Fuel Ratio'!$D$2</f>
        <v>0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</v>
      </c>
      <c r="J8">
        <f>SUM(J3:J7)</f>
        <v>0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</v>
      </c>
      <c r="U8">
        <f>SUM(U3:U7)</f>
        <v>0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</v>
      </c>
      <c r="AF8">
        <f>SUM(AF3:AF7)</f>
        <v>0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</v>
      </c>
      <c r="AQ8">
        <f>SUM(AQ3:AQ7)</f>
        <v>0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</v>
      </c>
      <c r="BB8">
        <f>SUM(BB3:BB7)</f>
        <v>0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</v>
      </c>
      <c r="BB9" s="35"/>
    </row>
  </sheetData>
  <mergeCells count="50">
    <mergeCell ref="AS8:AT9"/>
    <mergeCell ref="AX8:AZ9"/>
    <mergeCell ref="AU9:AV9"/>
    <mergeCell ref="BA9:BB9"/>
    <mergeCell ref="AS1:AS2"/>
    <mergeCell ref="AT1:AT2"/>
    <mergeCell ref="AU1:AV1"/>
    <mergeCell ref="AX1:AX2"/>
    <mergeCell ref="AY1:AZ1"/>
    <mergeCell ref="BA1:BB1"/>
    <mergeCell ref="AJ1:AK1"/>
    <mergeCell ref="AM1:AM2"/>
    <mergeCell ref="AN1:AO1"/>
    <mergeCell ref="AP1:AQ1"/>
    <mergeCell ref="AH8:AI9"/>
    <mergeCell ref="AM8:AO9"/>
    <mergeCell ref="AJ9:AK9"/>
    <mergeCell ref="AP9:AQ9"/>
    <mergeCell ref="AI1:AI2"/>
    <mergeCell ref="W8:X9"/>
    <mergeCell ref="AB8:AD9"/>
    <mergeCell ref="Y9:Z9"/>
    <mergeCell ref="AE9:AF9"/>
    <mergeCell ref="AH1:AH2"/>
    <mergeCell ref="W1:W2"/>
    <mergeCell ref="X1:X2"/>
    <mergeCell ref="Y1:Z1"/>
    <mergeCell ref="AB1:AB2"/>
    <mergeCell ref="AC1:AD1"/>
    <mergeCell ref="AE1:AF1"/>
    <mergeCell ref="M1:M2"/>
    <mergeCell ref="N1:O1"/>
    <mergeCell ref="Q1:Q2"/>
    <mergeCell ref="R1:S1"/>
    <mergeCell ref="T1:U1"/>
    <mergeCell ref="L8:M9"/>
    <mergeCell ref="Q8:S9"/>
    <mergeCell ref="N9:O9"/>
    <mergeCell ref="T9:U9"/>
    <mergeCell ref="A8:B9"/>
    <mergeCell ref="C9:D9"/>
    <mergeCell ref="I9:J9"/>
    <mergeCell ref="F8:H9"/>
    <mergeCell ref="L1:L2"/>
    <mergeCell ref="A1:A2"/>
    <mergeCell ref="B1:B2"/>
    <mergeCell ref="C1:D1"/>
    <mergeCell ref="F1:F2"/>
    <mergeCell ref="I1:J1"/>
    <mergeCell ref="G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167C-C2D7-4E76-BA96-0AC140CCACF0}">
  <dimension ref="A1:BB17"/>
  <sheetViews>
    <sheetView topLeftCell="C3" workbookViewId="0">
      <selection activeCell="T13" sqref="T13"/>
    </sheetView>
  </sheetViews>
  <sheetFormatPr defaultRowHeight="14.5" x14ac:dyDescent="0.35"/>
  <cols>
    <col min="19" max="19" width="11.81640625" bestFit="1" customWidth="1"/>
  </cols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Ratio'!$D$3</f>
        <v>9.1783839269885786E-2</v>
      </c>
      <c r="J3">
        <f>H3*'Fuel Ratio'!$D$3</f>
        <v>0.10022238068884198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Ratio'!$D$3</f>
        <v>7.8974781408009037E-2</v>
      </c>
      <c r="U3">
        <f>S3*'Fuel Ratio'!$D$3</f>
        <v>0.11132036377580462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Ratio'!$D$3</f>
        <v>6.4174228179623816E-2</v>
      </c>
      <c r="AF3">
        <f>AD3*'Fuel Ratio'!$D$3</f>
        <v>9.0457970235834462E-2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Ratio'!$D$3</f>
        <v>7.8061575894075544E-2</v>
      </c>
      <c r="AQ3">
        <f>AO3*'Fuel Ratio'!$D$3</f>
        <v>0.11003313805386249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Ratio'!$D$3</f>
        <v>6.5082842120925508E-2</v>
      </c>
      <c r="BB3">
        <f>AZ3*'Fuel Ratio'!$D$3</f>
        <v>9.1738723821652116E-2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Ratio'!$D$3</f>
        <v>9.1783839269885786E-2</v>
      </c>
      <c r="J4">
        <f>H4*'Fuel Ratio'!$D$3</f>
        <v>0.10022238068884198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Ratio'!$D$3</f>
        <v>7.8974781408009037E-2</v>
      </c>
      <c r="U4">
        <f>S4*'Fuel Ratio'!$D$3</f>
        <v>0.11132036377580462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Ratio'!$D$3</f>
        <v>6.4174228179623816E-2</v>
      </c>
      <c r="AF4">
        <f>AD4*'Fuel Ratio'!$D$3</f>
        <v>9.0457970235834462E-2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Ratio'!$D$3</f>
        <v>7.8061575894075544E-2</v>
      </c>
      <c r="AQ4">
        <f>AO4*'Fuel Ratio'!$D$3</f>
        <v>0.11003313805386249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Ratio'!$D$3</f>
        <v>6.5082842120925508E-2</v>
      </c>
      <c r="BB4">
        <f>AZ4*'Fuel Ratio'!$D$3</f>
        <v>9.1738723821652116E-2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Ratio'!$D$3</f>
        <v>-0.1985150182511079</v>
      </c>
      <c r="J5">
        <f>H5*'Fuel Ratio'!$D$3</f>
        <v>0.14508367318277182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Ratio'!$D$3</f>
        <v>-6.173372772249653E-2</v>
      </c>
      <c r="U5">
        <f>S5*'Fuel Ratio'!$D$3</f>
        <v>2.1037891241903476E-2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Ratio'!$D$3</f>
        <v>9.7084659336657816E-2</v>
      </c>
      <c r="AF5">
        <f>AD5*'Fuel Ratio'!$D$3</f>
        <v>1.1678439802786468E-2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Ratio'!$D$3</f>
        <v>-0.11595965291009303</v>
      </c>
      <c r="AQ5">
        <f>AO5*'Fuel Ratio'!$D$3</f>
        <v>8.4485547672159544E-2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Ratio'!$D$3</f>
        <v>0.13937819397139048</v>
      </c>
      <c r="BB5">
        <f>AZ5*'Fuel Ratio'!$D$3</f>
        <v>-3.9790459459265237E-2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Ratio'!$D$3</f>
        <v>9.1783839269885786E-2</v>
      </c>
      <c r="J6">
        <f>H6*'Fuel Ratio'!$D$3</f>
        <v>0.10022238068884198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Ratio'!$D$3</f>
        <v>7.8974781408009037E-2</v>
      </c>
      <c r="U6">
        <f>S6*'Fuel Ratio'!$D$3</f>
        <v>0.11132036377580462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Ratio'!$D$3</f>
        <v>6.4174228179623816E-2</v>
      </c>
      <c r="AF6">
        <f>AD6*'Fuel Ratio'!$D$3</f>
        <v>9.0457970235834462E-2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Ratio'!$D$3</f>
        <v>7.8061575894075544E-2</v>
      </c>
      <c r="AQ6">
        <f>AO6*'Fuel Ratio'!$D$3</f>
        <v>0.11003313805386249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Ratio'!$D$3</f>
        <v>6.5082842120925508E-2</v>
      </c>
      <c r="BB6">
        <f>AZ6*'Fuel Ratio'!$D$3</f>
        <v>9.1738723821652116E-2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Ratio'!$D$3</f>
        <v>0.10849985126880581</v>
      </c>
      <c r="J7">
        <f>H7*'Fuel Ratio'!$D$3</f>
        <v>0.12572007641069693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Ratio'!$D$3</f>
        <v>9.3357960452705002E-2</v>
      </c>
      <c r="U7">
        <f>S7*'Fuel Ratio'!$D$3</f>
        <v>0.13325968296379712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Ratio'!$D$3</f>
        <v>7.5861875774291238E-2</v>
      </c>
      <c r="AF7">
        <f>AD7*'Fuel Ratio'!$D$3</f>
        <v>0.10828567232723962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Ratio'!$D$3</f>
        <v>9.2278438575784077E-2</v>
      </c>
      <c r="AQ7">
        <f>AO7*'Fuel Ratio'!$D$3</f>
        <v>0.13171876730568521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Ratio'!$D$3</f>
        <v>7.6935969844404331E-2</v>
      </c>
      <c r="BB7">
        <f>AZ7*'Fuel Ratio'!$D$3</f>
        <v>0.10981884030308756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0.18533635082735528</v>
      </c>
      <c r="J8">
        <f>SUM(J3:J7)</f>
        <v>0.57147089165999465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0.26854857695423562</v>
      </c>
      <c r="U8">
        <f>SUM(U3:U7)</f>
        <v>0.48825866553311448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0.36546921964982049</v>
      </c>
      <c r="AF8">
        <f>SUM(AF3:AF7)</f>
        <v>0.3913380228375295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0.21050351334791767</v>
      </c>
      <c r="AQ8">
        <f>SUM(AQ3:AQ7)</f>
        <v>0.54630372913943226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0.41156269017857133</v>
      </c>
      <c r="BB8">
        <f>SUM(BB3:BB7)</f>
        <v>0.34524455230877871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0.75680724248734998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0.7568072424873501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0.75680724248734998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0.75680724248734998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0.75680724248734998</v>
      </c>
      <c r="BB9" s="35"/>
    </row>
    <row r="11" spans="1:54" x14ac:dyDescent="0.35">
      <c r="S11" s="35" t="s">
        <v>116</v>
      </c>
      <c r="T11" s="35"/>
    </row>
    <row r="12" spans="1:54" x14ac:dyDescent="0.35">
      <c r="R12" t="s">
        <v>31</v>
      </c>
      <c r="S12" t="s">
        <v>52</v>
      </c>
      <c r="T12" t="s">
        <v>53</v>
      </c>
    </row>
    <row r="13" spans="1:54" x14ac:dyDescent="0.35">
      <c r="R13">
        <f>M5</f>
        <v>0.1</v>
      </c>
    </row>
    <row r="14" spans="1:54" x14ac:dyDescent="0.35">
      <c r="R14">
        <f>X5</f>
        <v>0.2</v>
      </c>
    </row>
    <row r="15" spans="1:54" x14ac:dyDescent="0.35">
      <c r="R15">
        <f>AI5</f>
        <v>0.3</v>
      </c>
    </row>
    <row r="16" spans="1:54" x14ac:dyDescent="0.35">
      <c r="R16">
        <f>B5</f>
        <v>0.34</v>
      </c>
    </row>
    <row r="17" spans="18:18" x14ac:dyDescent="0.35">
      <c r="R17">
        <f>AT5</f>
        <v>0.4</v>
      </c>
    </row>
  </sheetData>
  <mergeCells count="51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S11:T11"/>
    <mergeCell ref="M1:M2"/>
    <mergeCell ref="A1:A2"/>
    <mergeCell ref="B1:B2"/>
    <mergeCell ref="C1:D1"/>
    <mergeCell ref="F1:F2"/>
    <mergeCell ref="G1:H1"/>
    <mergeCell ref="I1:J1"/>
    <mergeCell ref="A8:B9"/>
    <mergeCell ref="F8:H9"/>
    <mergeCell ref="C9:D9"/>
    <mergeCell ref="I9:J9"/>
    <mergeCell ref="L1:L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11F1-C314-4D4B-99C4-28C9B049194F}">
  <dimension ref="A1:BB9"/>
  <sheetViews>
    <sheetView topLeftCell="A74" workbookViewId="0">
      <selection activeCell="R85" sqref="R85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Ratio'!$D$4</f>
        <v>7.950882155079976E-2</v>
      </c>
      <c r="J3">
        <f>H3*'Fuel Ratio'!$D$4</f>
        <v>8.6818806502028056E-2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Ratio'!$D$4</f>
        <v>6.8412825742875716E-2</v>
      </c>
      <c r="U3">
        <f>S3*'Fuel Ratio'!$D$4</f>
        <v>9.6432563824169371E-2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Ratio'!$D$4</f>
        <v>5.55916738402129E-2</v>
      </c>
      <c r="AF3">
        <f>AD3*'Fuel Ratio'!$D$4</f>
        <v>7.836027203198806E-2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Ratio'!$D$4</f>
        <v>6.7621750812647055E-2</v>
      </c>
      <c r="AQ3">
        <f>AO3*'Fuel Ratio'!$D$4</f>
        <v>9.5317489525299032E-2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Ratio'!$D$4</f>
        <v>5.6378771267082343E-2</v>
      </c>
      <c r="BB3">
        <f>AZ3*'Fuel Ratio'!$D$4</f>
        <v>7.9469739767434308E-2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Ratio'!$D$4</f>
        <v>7.950882155079976E-2</v>
      </c>
      <c r="J4">
        <f>H4*'Fuel Ratio'!$D$4</f>
        <v>8.6818806502028056E-2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Ratio'!$D$4</f>
        <v>6.8412825742875716E-2</v>
      </c>
      <c r="U4">
        <f>S4*'Fuel Ratio'!$D$4</f>
        <v>9.6432563824169371E-2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Ratio'!$D$4</f>
        <v>5.55916738402129E-2</v>
      </c>
      <c r="AF4">
        <f>AD4*'Fuel Ratio'!$D$4</f>
        <v>7.836027203198806E-2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Ratio'!$D$4</f>
        <v>6.7621750812647055E-2</v>
      </c>
      <c r="AQ4">
        <f>AO4*'Fuel Ratio'!$D$4</f>
        <v>9.5317489525299032E-2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Ratio'!$D$4</f>
        <v>5.6378771267082343E-2</v>
      </c>
      <c r="BB4">
        <f>AZ4*'Fuel Ratio'!$D$4</f>
        <v>7.9469739767434308E-2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Ratio'!$D$4</f>
        <v>-0.17196595050758262</v>
      </c>
      <c r="J5">
        <f>H5*'Fuel Ratio'!$D$4</f>
        <v>0.12568042449285868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Ratio'!$D$4</f>
        <v>-5.3477561847470816E-2</v>
      </c>
      <c r="U5">
        <f>S5*'Fuel Ratio'!$D$4</f>
        <v>1.8224318723900318E-2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Ratio'!$D$4</f>
        <v>8.4100718774913347E-2</v>
      </c>
      <c r="AF5">
        <f>AD5*'Fuel Ratio'!$D$4</f>
        <v>1.0116584724040405E-2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Ratio'!$D$4</f>
        <v>-0.10045140216036136</v>
      </c>
      <c r="AQ5">
        <f>AO5*'Fuel Ratio'!$D$4</f>
        <v>7.3186591309776214E-2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Ratio'!$D$4</f>
        <v>0.12073798656382825</v>
      </c>
      <c r="BB5">
        <f>AZ5*'Fuel Ratio'!$D$4</f>
        <v>-3.44689497163915E-2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Ratio'!$D$4</f>
        <v>7.950882155079976E-2</v>
      </c>
      <c r="J6">
        <f>H6*'Fuel Ratio'!$D$4</f>
        <v>8.6818806502028056E-2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Ratio'!$D$4</f>
        <v>6.8412825742875716E-2</v>
      </c>
      <c r="U6">
        <f>S6*'Fuel Ratio'!$D$4</f>
        <v>9.6432563824169371E-2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Ratio'!$D$4</f>
        <v>5.55916738402129E-2</v>
      </c>
      <c r="AF6">
        <f>AD6*'Fuel Ratio'!$D$4</f>
        <v>7.836027203198806E-2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Ratio'!$D$4</f>
        <v>6.7621750812647055E-2</v>
      </c>
      <c r="AQ6">
        <f>AO6*'Fuel Ratio'!$D$4</f>
        <v>9.5317489525299032E-2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Ratio'!$D$4</f>
        <v>5.6378771267082343E-2</v>
      </c>
      <c r="BB6">
        <f>AZ6*'Fuel Ratio'!$D$4</f>
        <v>7.9469739767434308E-2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Ratio'!$D$4</f>
        <v>9.3989261959868897E-2</v>
      </c>
      <c r="J7">
        <f>H7*'Fuel Ratio'!$D$4</f>
        <v>0.10890648288636852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Ratio'!$D$4</f>
        <v>8.0872422389680468E-2</v>
      </c>
      <c r="U7">
        <f>S7*'Fuel Ratio'!$D$4</f>
        <v>0.11543775502275173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Ratio'!$D$4</f>
        <v>6.57162349213916E-2</v>
      </c>
      <c r="AF7">
        <f>AD7*'Fuel Ratio'!$D$4</f>
        <v>9.3803726953048672E-2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Ratio'!$D$4</f>
        <v>7.9937273969707456E-2</v>
      </c>
      <c r="AQ7">
        <f>AO7*'Fuel Ratio'!$D$4</f>
        <v>0.11410291885703634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Ratio'!$D$4</f>
        <v>6.6646681440394581E-2</v>
      </c>
      <c r="BB7">
        <f>AZ7*'Fuel Ratio'!$D$4</f>
        <v>9.5131851598615647E-2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0.16054977610468557</v>
      </c>
      <c r="J8">
        <f>SUM(J3:J7)</f>
        <v>0.49504332688531133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0.23263333777083678</v>
      </c>
      <c r="U8">
        <f>SUM(U3:U7)</f>
        <v>0.42295976521916018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0.31659197521694366</v>
      </c>
      <c r="AF8">
        <f>SUM(AF3:AF7)</f>
        <v>0.33900112777305325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0.18235112424728728</v>
      </c>
      <c r="AQ8">
        <f>SUM(AQ3:AQ7)</f>
        <v>0.47324197874270962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0.35652098180546987</v>
      </c>
      <c r="BB8">
        <f>SUM(BB3:BB7)</f>
        <v>0.29907212118452708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0.65559310298999685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0.65559310298999696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0.65559310298999685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0.65559310298999685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0.65559310298999696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3114-8F62-40A7-82F8-ED0F9EA5293B}">
  <dimension ref="A1:BB9"/>
  <sheetViews>
    <sheetView topLeftCell="A71" workbookViewId="0">
      <selection activeCell="BB5" sqref="BB5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Ratio'!$D$5</f>
        <v>8.8408604463976692E-2</v>
      </c>
      <c r="J3">
        <f>H3*'Fuel Ratio'!$D$5</f>
        <v>9.6536829176474187E-2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Ratio'!$D$5</f>
        <v>7.6070583532677497E-2</v>
      </c>
      <c r="U3">
        <f>S3*'Fuel Ratio'!$D$5</f>
        <v>0.10722669794736031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Ratio'!$D$5</f>
        <v>6.1814301962576958E-2</v>
      </c>
      <c r="AF3">
        <f>AD3*'Fuel Ratio'!$D$5</f>
        <v>8.7131492589654205E-2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Ratio'!$D$5</f>
        <v>7.5190959998535825E-2</v>
      </c>
      <c r="AQ3">
        <f>AO3*'Fuel Ratio'!$D$5</f>
        <v>0.10598680832613395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Ratio'!$D$5</f>
        <v>6.2689502773373207E-2</v>
      </c>
      <c r="BB3">
        <f>AZ3*'Fuel Ratio'!$D$5</f>
        <v>8.836514807939054E-2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Ratio'!$D$5</f>
        <v>8.8408604463976692E-2</v>
      </c>
      <c r="J4">
        <f>H4*'Fuel Ratio'!$D$5</f>
        <v>9.6536829176474187E-2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Ratio'!$D$5</f>
        <v>7.6070583532677497E-2</v>
      </c>
      <c r="U4">
        <f>S4*'Fuel Ratio'!$D$5</f>
        <v>0.10722669794736031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Ratio'!$D$5</f>
        <v>6.1814301962576958E-2</v>
      </c>
      <c r="AF4">
        <f>AD4*'Fuel Ratio'!$D$5</f>
        <v>8.7131492589654205E-2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Ratio'!$D$5</f>
        <v>7.5190959998535825E-2</v>
      </c>
      <c r="AQ4">
        <f>AO4*'Fuel Ratio'!$D$5</f>
        <v>0.10598680832613395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Ratio'!$D$5</f>
        <v>6.2689502773373207E-2</v>
      </c>
      <c r="BB4">
        <f>AZ4*'Fuel Ratio'!$D$5</f>
        <v>8.836514807939054E-2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Ratio'!$D$5</f>
        <v>-0.19121487909342227</v>
      </c>
      <c r="J5">
        <f>H5*'Fuel Ratio'!$D$5</f>
        <v>0.1397484042793245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Ratio'!$D$5</f>
        <v>-5.9463547828465343E-2</v>
      </c>
      <c r="U5">
        <f>S5*'Fuel Ratio'!$D$5</f>
        <v>2.0264249353228417E-2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Ratio'!$D$5</f>
        <v>9.3514493565433357E-2</v>
      </c>
      <c r="AF5">
        <f>AD5*'Fuel Ratio'!$D$5</f>
        <v>1.1248979923850985E-2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Ratio'!$D$5</f>
        <v>-0.11169538308114833</v>
      </c>
      <c r="AQ5">
        <f>AO5*'Fuel Ratio'!$D$5</f>
        <v>8.1378698325175164E-2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Ratio'!$D$5</f>
        <v>0.13425273686239228</v>
      </c>
      <c r="BB5">
        <f>AZ5*'Fuel Ratio'!$D$5</f>
        <v>-3.8327215550769345E-2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Ratio'!$D$5</f>
        <v>8.8408604463976692E-2</v>
      </c>
      <c r="J6">
        <f>H6*'Fuel Ratio'!$D$5</f>
        <v>9.6536829176474187E-2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Ratio'!$D$5</f>
        <v>7.6070583532677497E-2</v>
      </c>
      <c r="U6">
        <f>S6*'Fuel Ratio'!$D$5</f>
        <v>0.10722669794736031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Ratio'!$D$5</f>
        <v>6.1814301962576958E-2</v>
      </c>
      <c r="AF6">
        <f>AD6*'Fuel Ratio'!$D$5</f>
        <v>8.7131492589654205E-2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Ratio'!$D$5</f>
        <v>7.5190959998535825E-2</v>
      </c>
      <c r="AQ6">
        <f>AO6*'Fuel Ratio'!$D$5</f>
        <v>0.10598680832613395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Ratio'!$D$5</f>
        <v>6.2689502773373207E-2</v>
      </c>
      <c r="BB6">
        <f>AZ6*'Fuel Ratio'!$D$5</f>
        <v>8.836514807939054E-2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Ratio'!$D$5</f>
        <v>0.10450990622672053</v>
      </c>
      <c r="J7">
        <f>H7*'Fuel Ratio'!$D$5</f>
        <v>0.12109687933070556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Ratio'!$D$5</f>
        <v>8.9924839327731113E-2</v>
      </c>
      <c r="U7">
        <f>S7*'Fuel Ratio'!$D$5</f>
        <v>0.12835922637207342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Ratio'!$D$5</f>
        <v>7.3072151073387936E-2</v>
      </c>
      <c r="AF7">
        <f>AD7*'Fuel Ratio'!$D$5</f>
        <v>0.1043036034453152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Ratio'!$D$5</f>
        <v>8.8885015504865314E-2</v>
      </c>
      <c r="AQ7">
        <f>AO7*'Fuel Ratio'!$D$5</f>
        <v>0.12687497594177943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Ratio'!$D$5</f>
        <v>7.4106746690188283E-2</v>
      </c>
      <c r="BB7">
        <f>AZ7*'Fuel Ratio'!$D$5</f>
        <v>0.10578039110457851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0.17852084052522832</v>
      </c>
      <c r="J8">
        <f>SUM(J3:J7)</f>
        <v>0.55045577113945265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0.25867304209729824</v>
      </c>
      <c r="U8">
        <f>SUM(U3:U7)</f>
        <v>0.47030356956738273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0.35202955052655216</v>
      </c>
      <c r="AF8">
        <f>SUM(AF3:AF7)</f>
        <v>0.37694706113812881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0.20276251241932447</v>
      </c>
      <c r="AQ8">
        <f>SUM(AQ3:AQ7)</f>
        <v>0.52621409924535645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0.39642799187270017</v>
      </c>
      <c r="BB8">
        <f>SUM(BB3:BB7)</f>
        <v>0.3325486197919808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0.72897661166468097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0.72897661166468097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0.72897661166468097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0.72897661166468097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0.72897661166468097</v>
      </c>
      <c r="BB9" s="35"/>
    </row>
  </sheetData>
  <mergeCells count="50">
    <mergeCell ref="AS8:AT9"/>
    <mergeCell ref="AX8:AZ9"/>
    <mergeCell ref="AU9:AV9"/>
    <mergeCell ref="BA9:BB9"/>
    <mergeCell ref="AS1:AS2"/>
    <mergeCell ref="AT1:AT2"/>
    <mergeCell ref="AU1:AV1"/>
    <mergeCell ref="AX1:AX2"/>
    <mergeCell ref="AY1:AZ1"/>
    <mergeCell ref="BA1:BB1"/>
    <mergeCell ref="AJ1:AK1"/>
    <mergeCell ref="AM1:AM2"/>
    <mergeCell ref="AN1:AO1"/>
    <mergeCell ref="AP1:AQ1"/>
    <mergeCell ref="AH8:AI9"/>
    <mergeCell ref="AM8:AO9"/>
    <mergeCell ref="AJ9:AK9"/>
    <mergeCell ref="AP9:AQ9"/>
    <mergeCell ref="AI1:AI2"/>
    <mergeCell ref="W8:X9"/>
    <mergeCell ref="AB8:AD9"/>
    <mergeCell ref="Y9:Z9"/>
    <mergeCell ref="AE9:AF9"/>
    <mergeCell ref="AH1:AH2"/>
    <mergeCell ref="W1:W2"/>
    <mergeCell ref="X1:X2"/>
    <mergeCell ref="Y1:Z1"/>
    <mergeCell ref="AB1:AB2"/>
    <mergeCell ref="AC1:AD1"/>
    <mergeCell ref="AE1:AF1"/>
    <mergeCell ref="N1:O1"/>
    <mergeCell ref="Q1:Q2"/>
    <mergeCell ref="R1:S1"/>
    <mergeCell ref="T1:U1"/>
    <mergeCell ref="L8:M9"/>
    <mergeCell ref="Q8:S9"/>
    <mergeCell ref="N9:O9"/>
    <mergeCell ref="T9:U9"/>
    <mergeCell ref="M1:M2"/>
    <mergeCell ref="A8:B9"/>
    <mergeCell ref="F8:H9"/>
    <mergeCell ref="C9:D9"/>
    <mergeCell ref="I9:J9"/>
    <mergeCell ref="L1:L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F36F-765B-446B-A53A-25028F7BB53A}">
  <dimension ref="A1:BB9"/>
  <sheetViews>
    <sheetView topLeftCell="A9" workbookViewId="0">
      <selection activeCell="BA3" sqref="BA3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Ratio'!$D$6</f>
        <v>6.2239381079842976E-2</v>
      </c>
      <c r="J3">
        <f>H3*'Fuel Ratio'!$D$6</f>
        <v>6.7961625859646754E-2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Ratio'!$D$6</f>
        <v>5.3553452926468424E-2</v>
      </c>
      <c r="U3">
        <f>S3*'Fuel Ratio'!$D$6</f>
        <v>7.5487260046031776E-2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Ratio'!$D$6</f>
        <v>4.3517075281975993E-2</v>
      </c>
      <c r="AF3">
        <f>AD3*'Fuel Ratio'!$D$6</f>
        <v>6.1340298313980086E-2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Ratio'!$D$6</f>
        <v>5.2934200709105927E-2</v>
      </c>
      <c r="AQ3">
        <f>AO3*'Fuel Ratio'!$D$6</f>
        <v>7.4614381629950766E-2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Ratio'!$D$6</f>
        <v>4.4133213915933625E-2</v>
      </c>
      <c r="BB3">
        <f>AZ3*'Fuel Ratio'!$D$6</f>
        <v>6.2208787920986906E-2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Ratio'!$D$6</f>
        <v>6.2239381079842976E-2</v>
      </c>
      <c r="J4">
        <f>H4*'Fuel Ratio'!$D$6</f>
        <v>6.7961625859646754E-2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Ratio'!$D$6</f>
        <v>5.3553452926468424E-2</v>
      </c>
      <c r="U4">
        <f>S4*'Fuel Ratio'!$D$6</f>
        <v>7.5487260046031776E-2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Ratio'!$D$6</f>
        <v>4.3517075281975993E-2</v>
      </c>
      <c r="AF4">
        <f>AD4*'Fuel Ratio'!$D$6</f>
        <v>6.1340298313980086E-2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Ratio'!$D$6</f>
        <v>5.2934200709105927E-2</v>
      </c>
      <c r="AQ4">
        <f>AO4*'Fuel Ratio'!$D$6</f>
        <v>7.4614381629950766E-2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Ratio'!$D$6</f>
        <v>4.4133213915933625E-2</v>
      </c>
      <c r="BB4">
        <f>AZ4*'Fuel Ratio'!$D$6</f>
        <v>6.2208787920986906E-2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Ratio'!$D$6</f>
        <v>-0.13461467693318102</v>
      </c>
      <c r="J5">
        <f>H5*'Fuel Ratio'!$D$6</f>
        <v>9.8382439605014874E-2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Ratio'!$D$6</f>
        <v>-4.1862151722611311E-2</v>
      </c>
      <c r="U5">
        <f>S5*'Fuel Ratio'!$D$6</f>
        <v>1.4265968176281441E-2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Ratio'!$D$6</f>
        <v>6.5833911040628232E-2</v>
      </c>
      <c r="AF5">
        <f>AD5*'Fuel Ratio'!$D$6</f>
        <v>7.9192466896742149E-3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Ratio'!$D$6</f>
        <v>-7.8633200406180645E-2</v>
      </c>
      <c r="AQ5">
        <f>AO5*'Fuel Ratio'!$D$6</f>
        <v>5.7290349141366027E-2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Ratio'!$D$6</f>
        <v>9.4513506929011684E-2</v>
      </c>
      <c r="BB5">
        <f>AZ5*'Fuel Ratio'!$D$6</f>
        <v>-2.6982239894597665E-2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Ratio'!$D$6</f>
        <v>6.2239381079842976E-2</v>
      </c>
      <c r="J6">
        <f>H6*'Fuel Ratio'!$D$6</f>
        <v>6.7961625859646754E-2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Ratio'!$D$6</f>
        <v>5.3553452926468424E-2</v>
      </c>
      <c r="U6">
        <f>S6*'Fuel Ratio'!$D$6</f>
        <v>7.5487260046031776E-2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Ratio'!$D$6</f>
        <v>4.3517075281975993E-2</v>
      </c>
      <c r="AF6">
        <f>AD6*'Fuel Ratio'!$D$6</f>
        <v>6.1340298313980086E-2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Ratio'!$D$6</f>
        <v>5.2934200709105927E-2</v>
      </c>
      <c r="AQ6">
        <f>AO6*'Fuel Ratio'!$D$6</f>
        <v>7.4614381629950766E-2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Ratio'!$D$6</f>
        <v>4.4133213915933625E-2</v>
      </c>
      <c r="BB6">
        <f>AZ6*'Fuel Ratio'!$D$6</f>
        <v>6.2208787920986906E-2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Ratio'!$D$6</f>
        <v>7.3574647170388432E-2</v>
      </c>
      <c r="J7">
        <f>H7*'Fuel Ratio'!$D$6</f>
        <v>8.5251824366423479E-2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Ratio'!$D$6</f>
        <v>6.3306805682503756E-2</v>
      </c>
      <c r="U7">
        <f>S7*'Fuel Ratio'!$D$6</f>
        <v>9.0364493973440513E-2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Ratio'!$D$6</f>
        <v>5.1442565851535185E-2</v>
      </c>
      <c r="AF7">
        <f>AD7*'Fuel Ratio'!$D$6</f>
        <v>7.34294106574091E-2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Ratio'!$D$6</f>
        <v>6.2574772962842251E-2</v>
      </c>
      <c r="AQ7">
        <f>AO7*'Fuel Ratio'!$D$6</f>
        <v>8.9319586311917248E-2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Ratio'!$D$6</f>
        <v>5.2170917930475756E-2</v>
      </c>
      <c r="BB7">
        <f>AZ7*'Fuel Ratio'!$D$6</f>
        <v>7.4469064551463612E-2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0.12567811347673635</v>
      </c>
      <c r="J8">
        <f>SUM(J3:J7)</f>
        <v>0.38751914155037864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0.18210501273929774</v>
      </c>
      <c r="U8">
        <f>SUM(U3:U7)</f>
        <v>0.33109224228781731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0.2478277027380914</v>
      </c>
      <c r="AF8">
        <f>SUM(AF3:AF7)</f>
        <v>0.26536955228902359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0.14274417468397937</v>
      </c>
      <c r="AQ8">
        <f>SUM(AQ3:AQ7)</f>
        <v>0.37045308034313562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0.27908406660728829</v>
      </c>
      <c r="BB8">
        <f>SUM(BB3:BB7)</f>
        <v>0.23411318841982665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0.513197255027115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0.51319725502711511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0.513197255027115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0.513197255027115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0.51319725502711488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5A1C-5671-4D32-B998-AE4253524D75}">
  <dimension ref="A1:BB9"/>
  <sheetViews>
    <sheetView topLeftCell="A75" workbookViewId="0">
      <selection activeCell="BA3" sqref="BA3:BB7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Ratio'!$D$7</f>
        <v>9.7425151727521184E-2</v>
      </c>
      <c r="J3">
        <f>H3*'Fuel Ratio'!$D$7</f>
        <v>0.10638235143327067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Ratio'!$D$7</f>
        <v>8.3828810415076394E-2</v>
      </c>
      <c r="U3">
        <f>S3*'Fuel Ratio'!$D$7</f>
        <v>0.11816245013820191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Ratio'!$D$7</f>
        <v>6.8118570405539272E-2</v>
      </c>
      <c r="AF3">
        <f>AD3*'Fuel Ratio'!$D$7</f>
        <v>9.601779077116103E-2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Ratio'!$D$7</f>
        <v>8.2859476527312459E-2</v>
      </c>
      <c r="AQ3">
        <f>AO3*'Fuel Ratio'!$D$7</f>
        <v>0.11679610762883026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Ratio'!$D$7</f>
        <v>6.9083030508725468E-2</v>
      </c>
      <c r="BB3">
        <f>AZ3*'Fuel Ratio'!$D$7</f>
        <v>9.7377263347340259E-2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Ratio'!$D$7</f>
        <v>9.7425151727521184E-2</v>
      </c>
      <c r="J4">
        <f>H4*'Fuel Ratio'!$D$7</f>
        <v>0.10638235143327067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Ratio'!$D$7</f>
        <v>8.3828810415076394E-2</v>
      </c>
      <c r="U4">
        <f>S4*'Fuel Ratio'!$D$7</f>
        <v>0.11816245013820191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Ratio'!$D$7</f>
        <v>6.8118570405539272E-2</v>
      </c>
      <c r="AF4">
        <f>AD4*'Fuel Ratio'!$D$7</f>
        <v>9.601779077116103E-2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Ratio'!$D$7</f>
        <v>8.2859476527312459E-2</v>
      </c>
      <c r="AQ4">
        <f>AO4*'Fuel Ratio'!$D$7</f>
        <v>0.11679610762883026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Ratio'!$D$7</f>
        <v>6.9083030508725468E-2</v>
      </c>
      <c r="BB4">
        <f>AZ4*'Fuel Ratio'!$D$7</f>
        <v>9.7377263347340259E-2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Ratio'!$D$7</f>
        <v>-0.21071635188888183</v>
      </c>
      <c r="J5">
        <f>H5*'Fuel Ratio'!$D$7</f>
        <v>0.15400095469372307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Ratio'!$D$7</f>
        <v>-6.5528069406473738E-2</v>
      </c>
      <c r="U5">
        <f>S5*'Fuel Ratio'!$D$7</f>
        <v>2.2330943688711156E-2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Ratio'!$D$7</f>
        <v>0.10305177623346506</v>
      </c>
      <c r="AF5">
        <f>AD5*'Fuel Ratio'!$D$7</f>
        <v>1.2396232046707345E-2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Ratio'!$D$7</f>
        <v>-0.12308688401906032</v>
      </c>
      <c r="AQ5">
        <f>AO5*'Fuel Ratio'!$D$7</f>
        <v>8.9678285046891237E-2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Ratio'!$D$7</f>
        <v>0.14794479946782785</v>
      </c>
      <c r="BB5">
        <f>AZ5*'Fuel Ratio'!$D$7</f>
        <v>-4.2236101485445307E-2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Ratio'!$D$7</f>
        <v>9.7425151727521184E-2</v>
      </c>
      <c r="J6">
        <f>H6*'Fuel Ratio'!$D$7</f>
        <v>0.10638235143327067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Ratio'!$D$7</f>
        <v>8.3828810415076394E-2</v>
      </c>
      <c r="U6">
        <f>S6*'Fuel Ratio'!$D$7</f>
        <v>0.11816245013820191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Ratio'!$D$7</f>
        <v>6.8118570405539272E-2</v>
      </c>
      <c r="AF6">
        <f>AD6*'Fuel Ratio'!$D$7</f>
        <v>9.601779077116103E-2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Ratio'!$D$7</f>
        <v>8.2859476527312459E-2</v>
      </c>
      <c r="AQ6">
        <f>AO6*'Fuel Ratio'!$D$7</f>
        <v>0.11679610762883026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Ratio'!$D$7</f>
        <v>6.9083030508725468E-2</v>
      </c>
      <c r="BB6">
        <f>AZ6*'Fuel Ratio'!$D$7</f>
        <v>9.7377263347340259E-2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Ratio'!$D$7</f>
        <v>0.11516858039893629</v>
      </c>
      <c r="J7">
        <f>H7*'Fuel Ratio'!$D$7</f>
        <v>0.13344721267860893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Ratio'!$D$7</f>
        <v>9.9096023160810467E-2</v>
      </c>
      <c r="U7">
        <f>S7*'Fuel Ratio'!$D$7</f>
        <v>0.14145022626187925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Ratio'!$D$7</f>
        <v>8.0524576182875174E-2</v>
      </c>
      <c r="AF7">
        <f>AD7*'Fuel Ratio'!$D$7</f>
        <v>0.11494123737161349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Ratio'!$D$7</f>
        <v>9.7950150603192301E-2</v>
      </c>
      <c r="AQ7">
        <f>AO7*'Fuel Ratio'!$D$7</f>
        <v>0.13981460126531059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Ratio'!$D$7</f>
        <v>8.1664687324257038E-2</v>
      </c>
      <c r="BB7">
        <f>AZ7*'Fuel Ratio'!$D$7</f>
        <v>0.11656863848992528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0.19672768369261801</v>
      </c>
      <c r="J8">
        <f>SUM(J3:J7)</f>
        <v>0.60659522167214397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0.28505438499956592</v>
      </c>
      <c r="U8">
        <f>SUM(U3:U7)</f>
        <v>0.51826852036519622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0.38793206363295807</v>
      </c>
      <c r="AF8">
        <f>SUM(AF3:AF7)</f>
        <v>0.41539084173180391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0.22344169616606935</v>
      </c>
      <c r="AQ8">
        <f>SUM(AQ3:AQ7)</f>
        <v>0.57988120919869257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0.43685857831826125</v>
      </c>
      <c r="BB8">
        <f>SUM(BB3:BB7)</f>
        <v>0.36646432704650073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0.80332290536476192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0.80332290536476214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0.80332290536476192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0.80332290536476192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0.80332290536476192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C60A-DB39-4E50-A8F4-761FC4FF6A42}">
  <dimension ref="A1:BB9"/>
  <sheetViews>
    <sheetView topLeftCell="A75" workbookViewId="0">
      <selection activeCell="Q83" sqref="Q83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Ratio'!$D$8</f>
        <v>8.8718132081991349E-2</v>
      </c>
      <c r="J3">
        <f>H3*'Fuel Ratio'!$D$8</f>
        <v>9.6874814545283586E-2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Ratio'!$D$8</f>
        <v>7.6336914470312059E-2</v>
      </c>
      <c r="U3">
        <f>S3*'Fuel Ratio'!$D$8</f>
        <v>0.10760210964630582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Ratio'!$D$8</f>
        <v>6.2030720192021029E-2</v>
      </c>
      <c r="AF3">
        <f>AD3*'Fuel Ratio'!$D$8</f>
        <v>8.7436548907632014E-2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Ratio'!$D$8</f>
        <v>7.5454211283698516E-2</v>
      </c>
      <c r="AQ3">
        <f>AO3*'Fuel Ratio'!$D$8</f>
        <v>0.10635787904397942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Ratio'!$D$8</f>
        <v>6.2908985170879797E-2</v>
      </c>
      <c r="BB3">
        <f>AZ3*'Fuel Ratio'!$D$8</f>
        <v>8.8674523552132803E-2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Ratio'!$D$8</f>
        <v>8.8718132081991349E-2</v>
      </c>
      <c r="J4">
        <f>H4*'Fuel Ratio'!$D$8</f>
        <v>9.6874814545283586E-2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Ratio'!$D$8</f>
        <v>7.6336914470312059E-2</v>
      </c>
      <c r="U4">
        <f>S4*'Fuel Ratio'!$D$8</f>
        <v>0.10760210964630582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Ratio'!$D$8</f>
        <v>6.2030720192021029E-2</v>
      </c>
      <c r="AF4">
        <f>AD4*'Fuel Ratio'!$D$8</f>
        <v>8.7436548907632014E-2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Ratio'!$D$8</f>
        <v>7.5454211283698516E-2</v>
      </c>
      <c r="AQ4">
        <f>AO4*'Fuel Ratio'!$D$8</f>
        <v>0.10635787904397942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Ratio'!$D$8</f>
        <v>6.2908985170879797E-2</v>
      </c>
      <c r="BB4">
        <f>AZ4*'Fuel Ratio'!$D$8</f>
        <v>8.8674523552132803E-2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Ratio'!$D$8</f>
        <v>-0.19188434205365781</v>
      </c>
      <c r="J5">
        <f>H5*'Fuel Ratio'!$D$8</f>
        <v>0.14023767781734933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Ratio'!$D$8</f>
        <v>-5.9671735825885266E-2</v>
      </c>
      <c r="U5">
        <f>S5*'Fuel Ratio'!$D$8</f>
        <v>2.0335196574612458E-2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Ratio'!$D$8</f>
        <v>9.3841897426388418E-2</v>
      </c>
      <c r="AF5">
        <f>AD5*'Fuel Ratio'!$D$8</f>
        <v>1.1288363759644288E-2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Ratio'!$D$8</f>
        <v>-0.11208644010640009</v>
      </c>
      <c r="AQ5">
        <f>AO5*'Fuel Ratio'!$D$8</f>
        <v>8.1663613518695582E-2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Ratio'!$D$8</f>
        <v>0.13472276950350129</v>
      </c>
      <c r="BB5">
        <f>AZ5*'Fuel Ratio'!$D$8</f>
        <v>-3.8461403074783455E-2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Ratio'!$D$8</f>
        <v>8.8718132081991349E-2</v>
      </c>
      <c r="J6">
        <f>H6*'Fuel Ratio'!$D$8</f>
        <v>9.6874814545283586E-2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Ratio'!$D$8</f>
        <v>7.6336914470312059E-2</v>
      </c>
      <c r="U6">
        <f>S6*'Fuel Ratio'!$D$8</f>
        <v>0.10760210964630582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Ratio'!$D$8</f>
        <v>6.2030720192021029E-2</v>
      </c>
      <c r="AF6">
        <f>AD6*'Fuel Ratio'!$D$8</f>
        <v>8.7436548907632014E-2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Ratio'!$D$8</f>
        <v>7.5454211283698516E-2</v>
      </c>
      <c r="AQ6">
        <f>AO6*'Fuel Ratio'!$D$8</f>
        <v>0.10635787904397942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Ratio'!$D$8</f>
        <v>6.2908985170879797E-2</v>
      </c>
      <c r="BB6">
        <f>AZ6*'Fuel Ratio'!$D$8</f>
        <v>8.8674523552132803E-2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Ratio'!$D$8</f>
        <v>0.10487580615840052</v>
      </c>
      <c r="J7">
        <f>H7*'Fuel Ratio'!$D$8</f>
        <v>0.12152085196137313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Ratio'!$D$8</f>
        <v>9.0239675439965E-2</v>
      </c>
      <c r="U7">
        <f>S7*'Fuel Ratio'!$D$8</f>
        <v>0.12880862522674419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Ratio'!$D$8</f>
        <v>7.3327984190561149E-2</v>
      </c>
      <c r="AF7">
        <f>AD7*'Fuel Ratio'!$D$8</f>
        <v>0.104668781089737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Ratio'!$D$8</f>
        <v>8.9196211086938176E-2</v>
      </c>
      <c r="AQ7">
        <f>AO7*'Fuel Ratio'!$D$8</f>
        <v>0.12731917828302244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Ratio'!$D$8</f>
        <v>7.4366202033035317E-2</v>
      </c>
      <c r="BB7">
        <f>AZ7*'Fuel Ratio'!$D$8</f>
        <v>0.10615073913449907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0.17914586035071675</v>
      </c>
      <c r="J8">
        <f>SUM(J3:J7)</f>
        <v>0.55238297341457321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0.25957868302501591</v>
      </c>
      <c r="U8">
        <f>SUM(U3:U7)</f>
        <v>0.47195015074027413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0.35326204219301266</v>
      </c>
      <c r="AF8">
        <f>SUM(AF3:AF7)</f>
        <v>0.37826679157227733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0.20347240483163365</v>
      </c>
      <c r="AQ8">
        <f>SUM(AQ3:AQ7)</f>
        <v>0.52805642893365623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0.39781592704917601</v>
      </c>
      <c r="BB8">
        <f>SUM(BB3:BB7)</f>
        <v>0.33371290671611403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0.73152883376528999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0.7315288337652901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0.73152883376528999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0.73152883376528988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0.7315288337652901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C0BE-1698-4454-95C7-79C8775F29F7}">
  <dimension ref="A1:BB9"/>
  <sheetViews>
    <sheetView topLeftCell="A70" workbookViewId="0">
      <selection activeCell="BA3" sqref="BA3:BB7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Ratio'!$D$9</f>
        <v>8.8367580780078253E-2</v>
      </c>
      <c r="J3">
        <f>H3*'Fuel Ratio'!$D$9</f>
        <v>9.6492033804024796E-2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Ratio'!$D$9</f>
        <v>7.6035284982364018E-2</v>
      </c>
      <c r="U3">
        <f>S3*'Fuel Ratio'!$D$9</f>
        <v>0.10717694222291768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Ratio'!$D$9</f>
        <v>6.1785618664163967E-2</v>
      </c>
      <c r="AF3">
        <f>AD3*'Fuel Ratio'!$D$9</f>
        <v>8.7091061515877283E-2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Ratio'!$D$9</f>
        <v>7.5156069614350896E-2</v>
      </c>
      <c r="AQ3">
        <f>AO3*'Fuel Ratio'!$D$9</f>
        <v>0.10593762793980688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Ratio'!$D$9</f>
        <v>6.2660413361079928E-2</v>
      </c>
      <c r="BB3">
        <f>AZ3*'Fuel Ratio'!$D$9</f>
        <v>8.8324144560282564E-2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Ratio'!$D$9</f>
        <v>8.8367580780078253E-2</v>
      </c>
      <c r="J4">
        <f>H4*'Fuel Ratio'!$D$9</f>
        <v>9.6492033804024796E-2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Ratio'!$D$9</f>
        <v>7.6035284982364018E-2</v>
      </c>
      <c r="U4">
        <f>S4*'Fuel Ratio'!$D$9</f>
        <v>0.10717694222291768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Ratio'!$D$9</f>
        <v>6.1785618664163967E-2</v>
      </c>
      <c r="AF4">
        <f>AD4*'Fuel Ratio'!$D$9</f>
        <v>8.7091061515877283E-2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Ratio'!$D$9</f>
        <v>7.5156069614350896E-2</v>
      </c>
      <c r="AQ4">
        <f>AO4*'Fuel Ratio'!$D$9</f>
        <v>0.10593762793980688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Ratio'!$D$9</f>
        <v>6.2660413361079928E-2</v>
      </c>
      <c r="BB4">
        <f>AZ4*'Fuel Ratio'!$D$9</f>
        <v>8.8324144560282564E-2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Ratio'!$D$9</f>
        <v>-0.1911261508660719</v>
      </c>
      <c r="J5">
        <f>H5*'Fuel Ratio'!$D$9</f>
        <v>0.13968355771379812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Ratio'!$D$9</f>
        <v>-5.9435955335580909E-2</v>
      </c>
      <c r="U5">
        <f>S5*'Fuel Ratio'!$D$9</f>
        <v>2.0254846262149823E-2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Ratio'!$D$9</f>
        <v>9.3471100628205003E-2</v>
      </c>
      <c r="AF5">
        <f>AD5*'Fuel Ratio'!$D$9</f>
        <v>1.1243760131056223E-2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Ratio'!$D$9</f>
        <v>-0.11164355378109073</v>
      </c>
      <c r="AQ5">
        <f>AO5*'Fuel Ratio'!$D$9</f>
        <v>8.1340936684027212E-2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Ratio'!$D$9</f>
        <v>0.13419044041655492</v>
      </c>
      <c r="BB5">
        <f>AZ5*'Fuel Ratio'!$D$9</f>
        <v>-3.8309430816070779E-2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Ratio'!$D$9</f>
        <v>8.8367580780078253E-2</v>
      </c>
      <c r="J6">
        <f>H6*'Fuel Ratio'!$D$9</f>
        <v>9.6492033804024796E-2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Ratio'!$D$9</f>
        <v>7.6035284982364018E-2</v>
      </c>
      <c r="U6">
        <f>S6*'Fuel Ratio'!$D$9</f>
        <v>0.10717694222291768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Ratio'!$D$9</f>
        <v>6.1785618664163967E-2</v>
      </c>
      <c r="AF6">
        <f>AD6*'Fuel Ratio'!$D$9</f>
        <v>8.7091061515877283E-2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Ratio'!$D$9</f>
        <v>7.5156069614350896E-2</v>
      </c>
      <c r="AQ6">
        <f>AO6*'Fuel Ratio'!$D$9</f>
        <v>0.10593762793980688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Ratio'!$D$9</f>
        <v>6.2660413361079928E-2</v>
      </c>
      <c r="BB6">
        <f>AZ6*'Fuel Ratio'!$D$9</f>
        <v>8.8324144560282564E-2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Ratio'!$D$9</f>
        <v>0.10446141115790572</v>
      </c>
      <c r="J7">
        <f>H7*'Fuel Ratio'!$D$9</f>
        <v>0.12104068751398284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Ratio'!$D$9</f>
        <v>8.9883112074987254E-2</v>
      </c>
      <c r="U7">
        <f>S7*'Fuel Ratio'!$D$9</f>
        <v>0.12829966465452269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Ratio'!$D$9</f>
        <v>7.3038243866667629E-2</v>
      </c>
      <c r="AF7">
        <f>AD7*'Fuel Ratio'!$D$9</f>
        <v>0.10425520410587134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Ratio'!$D$9</f>
        <v>8.8843770754973739E-2</v>
      </c>
      <c r="AQ7">
        <f>AO7*'Fuel Ratio'!$D$9</f>
        <v>0.12681610295154033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Ratio'!$D$9</f>
        <v>7.4072359406626986E-2</v>
      </c>
      <c r="BB7">
        <f>AZ7*'Fuel Ratio'!$D$9</f>
        <v>0.10573130650072532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0.17843800263206858</v>
      </c>
      <c r="J8">
        <f>SUM(J3:J7)</f>
        <v>0.55020034663985529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0.25855301168649836</v>
      </c>
      <c r="U8">
        <f>SUM(U3:U7)</f>
        <v>0.47008533758542559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0.35186620048736456</v>
      </c>
      <c r="AF8">
        <f>SUM(AF3:AF7)</f>
        <v>0.37677214878455939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0.2026684258169357</v>
      </c>
      <c r="AQ8">
        <f>SUM(AQ3:AQ7)</f>
        <v>0.52596992345498816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0.39624403990642165</v>
      </c>
      <c r="BB8">
        <f>SUM(BB3:BB7)</f>
        <v>0.33239430936550224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0.72863834927192384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0.72863834927192395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0.72863834927192395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0.72863834927192384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0.72863834927192395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CEED-417A-46FE-A5A5-3F44437B0350}">
  <dimension ref="A1:BB9"/>
  <sheetViews>
    <sheetView topLeftCell="A74" workbookViewId="0">
      <selection activeCell="BA3" sqref="BA3:BB7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Ratio'!$D$10</f>
        <v>8.7503393654943779E-2</v>
      </c>
      <c r="J3">
        <f>H3*'Fuel Ratio'!$D$10</f>
        <v>9.5548393924383815E-2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Ratio'!$D$10</f>
        <v>7.5291701037238049E-2</v>
      </c>
      <c r="U3">
        <f>S3*'Fuel Ratio'!$D$10</f>
        <v>0.10612880972044673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Ratio'!$D$10</f>
        <v>6.1181388745265075E-2</v>
      </c>
      <c r="AF3">
        <f>AD3*'Fuel Ratio'!$D$10</f>
        <v>8.6239358058433732E-2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Ratio'!$D$10</f>
        <v>7.4421083919788647E-2</v>
      </c>
      <c r="AQ3">
        <f>AO3*'Fuel Ratio'!$D$10</f>
        <v>0.10490161526044307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Ratio'!$D$10</f>
        <v>6.2047628423388658E-2</v>
      </c>
      <c r="BB3">
        <f>AZ3*'Fuel Ratio'!$D$10</f>
        <v>8.7460382217874763E-2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Ratio'!$D$10</f>
        <v>8.7503393654943779E-2</v>
      </c>
      <c r="J4">
        <f>H4*'Fuel Ratio'!$D$10</f>
        <v>9.5548393924383815E-2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Ratio'!$D$10</f>
        <v>7.5291701037238049E-2</v>
      </c>
      <c r="U4">
        <f>S4*'Fuel Ratio'!$D$10</f>
        <v>0.10612880972044673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Ratio'!$D$10</f>
        <v>6.1181388745265075E-2</v>
      </c>
      <c r="AF4">
        <f>AD4*'Fuel Ratio'!$D$10</f>
        <v>8.6239358058433732E-2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Ratio'!$D$10</f>
        <v>7.4421083919788647E-2</v>
      </c>
      <c r="AQ4">
        <f>AO4*'Fuel Ratio'!$D$10</f>
        <v>0.10490161526044307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Ratio'!$D$10</f>
        <v>6.2047628423388658E-2</v>
      </c>
      <c r="BB4">
        <f>AZ4*'Fuel Ratio'!$D$10</f>
        <v>8.7460382217874763E-2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Ratio'!$D$10</f>
        <v>-0.18925704052722461</v>
      </c>
      <c r="J5">
        <f>H5*'Fuel Ratio'!$D$10</f>
        <v>0.13831752810086054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Ratio'!$D$10</f>
        <v>-5.8854703852654087E-2</v>
      </c>
      <c r="U5">
        <f>S5*'Fuel Ratio'!$D$10</f>
        <v>2.0056764825419193E-2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Ratio'!$D$10</f>
        <v>9.2557003840424049E-2</v>
      </c>
      <c r="AF5">
        <f>AD5*'Fuel Ratio'!$D$10</f>
        <v>1.1133802240870894E-2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Ratio'!$D$10</f>
        <v>-0.11055174023442378</v>
      </c>
      <c r="AQ5">
        <f>AO5*'Fuel Ratio'!$D$10</f>
        <v>8.0545466336098881E-2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Ratio'!$D$10</f>
        <v>0.13287813051850855</v>
      </c>
      <c r="BB5">
        <f>AZ5*'Fuel Ratio'!$D$10</f>
        <v>-3.793478531157439E-2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Ratio'!$D$10</f>
        <v>8.7503393654943779E-2</v>
      </c>
      <c r="J6">
        <f>H6*'Fuel Ratio'!$D$10</f>
        <v>9.5548393924383815E-2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Ratio'!$D$10</f>
        <v>7.5291701037238049E-2</v>
      </c>
      <c r="U6">
        <f>S6*'Fuel Ratio'!$D$10</f>
        <v>0.10612880972044673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Ratio'!$D$10</f>
        <v>6.1181388745265075E-2</v>
      </c>
      <c r="AF6">
        <f>AD6*'Fuel Ratio'!$D$10</f>
        <v>8.6239358058433732E-2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Ratio'!$D$10</f>
        <v>7.4421083919788647E-2</v>
      </c>
      <c r="AQ6">
        <f>AO6*'Fuel Ratio'!$D$10</f>
        <v>0.10490161526044307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Ratio'!$D$10</f>
        <v>6.2047628423388658E-2</v>
      </c>
      <c r="BB6">
        <f>AZ6*'Fuel Ratio'!$D$10</f>
        <v>8.7460382217874763E-2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Ratio'!$D$10</f>
        <v>0.10343983507990143</v>
      </c>
      <c r="J7">
        <f>H7*'Fuel Ratio'!$D$10</f>
        <v>0.11985697508411183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Ratio'!$D$10</f>
        <v>8.9004103873828788E-2</v>
      </c>
      <c r="U7">
        <f>S7*'Fuel Ratio'!$D$10</f>
        <v>0.12704496335598378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Ratio'!$D$10</f>
        <v>7.2323969361981461E-2</v>
      </c>
      <c r="AF7">
        <f>AD7*'Fuel Ratio'!$D$10</f>
        <v>0.10323564462125918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Ratio'!$D$10</f>
        <v>8.7974926749546864E-2</v>
      </c>
      <c r="AQ7">
        <f>AO7*'Fuel Ratio'!$D$10</f>
        <v>0.12557591008371483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Ratio'!$D$10</f>
        <v>7.3347971811510537E-2</v>
      </c>
      <c r="BB7">
        <f>AZ7*'Fuel Ratio'!$D$10</f>
        <v>0.10469731153339708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0.17669297551750815</v>
      </c>
      <c r="J8">
        <f>SUM(J3:J7)</f>
        <v>0.54481968495812383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0.25602450313288883</v>
      </c>
      <c r="U8">
        <f>SUM(U3:U7)</f>
        <v>0.46548815734274318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0.34842513943820075</v>
      </c>
      <c r="AF8">
        <f>SUM(AF3:AF7)</f>
        <v>0.37308752103743126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0.20068643827448901</v>
      </c>
      <c r="AQ8">
        <f>SUM(AQ3:AQ7)</f>
        <v>0.52082622220114294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0.39236898760018507</v>
      </c>
      <c r="BB8">
        <f>SUM(BB3:BB7)</f>
        <v>0.32914367287544699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0.72151266047563201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0.72151266047563201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0.72151266047563201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0.7215126604756319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0.72151266047563212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EA33-6112-4FDF-BA2E-B2316F69BCEB}">
  <dimension ref="A1:BB9"/>
  <sheetViews>
    <sheetView topLeftCell="A69" workbookViewId="0">
      <selection activeCell="J3" sqref="J3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Ratio'!$D$11</f>
        <v>5.7997576900555362E-2</v>
      </c>
      <c r="J3">
        <f>H3*'Fuel Ratio'!$D$11</f>
        <v>6.3329833197171295E-2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Ratio'!$D$11</f>
        <v>4.9903621316681641E-2</v>
      </c>
      <c r="U3">
        <f>S3*'Fuel Ratio'!$D$11</f>
        <v>7.0342572396656519E-2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Ratio'!$D$11</f>
        <v>4.0551253504849713E-2</v>
      </c>
      <c r="AF3">
        <f>AD3*'Fuel Ratio'!$D$11</f>
        <v>5.7159769375024157E-2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Ratio'!$D$11</f>
        <v>4.932657303191082E-2</v>
      </c>
      <c r="AQ3">
        <f>AO3*'Fuel Ratio'!$D$11</f>
        <v>6.9529183314323742E-2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Ratio'!$D$11</f>
        <v>4.112540040644759E-2</v>
      </c>
      <c r="BB3">
        <f>AZ3*'Fuel Ratio'!$D$11</f>
        <v>5.7969068759044291E-2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Ratio'!$D$11</f>
        <v>5.7997576900555362E-2</v>
      </c>
      <c r="J4">
        <f>H4*'Fuel Ratio'!$D$11</f>
        <v>6.3329833197171295E-2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Ratio'!$D$11</f>
        <v>4.9903621316681641E-2</v>
      </c>
      <c r="U4">
        <f>S4*'Fuel Ratio'!$D$11</f>
        <v>7.0342572396656519E-2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Ratio'!$D$11</f>
        <v>4.0551253504849713E-2</v>
      </c>
      <c r="AF4">
        <f>AD4*'Fuel Ratio'!$D$11</f>
        <v>5.7159769375024157E-2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Ratio'!$D$11</f>
        <v>4.932657303191082E-2</v>
      </c>
      <c r="AQ4">
        <f>AO4*'Fuel Ratio'!$D$11</f>
        <v>6.9529183314323742E-2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Ratio'!$D$11</f>
        <v>4.112540040644759E-2</v>
      </c>
      <c r="BB4">
        <f>AZ4*'Fuel Ratio'!$D$11</f>
        <v>5.7969068759044291E-2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Ratio'!$D$11</f>
        <v>-0.12544027498217017</v>
      </c>
      <c r="J5">
        <f>H5*'Fuel Ratio'!$D$11</f>
        <v>9.1677375443954032E-2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Ratio'!$D$11</f>
        <v>-3.9009118047627453E-2</v>
      </c>
      <c r="U5">
        <f>S5*'Fuel Ratio'!$D$11</f>
        <v>1.3293698812707503E-2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Ratio'!$D$11</f>
        <v>6.1347128650669255E-2</v>
      </c>
      <c r="AF5">
        <f>AD5*'Fuel Ratio'!$D$11</f>
        <v>7.3795258068142652E-3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Ratio'!$D$11</f>
        <v>-7.3274107299425434E-2</v>
      </c>
      <c r="AQ5">
        <f>AO5*'Fuel Ratio'!$D$11</f>
        <v>5.3385836625263965E-2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Ratio'!$D$11</f>
        <v>8.8072122362923042E-2</v>
      </c>
      <c r="BB5">
        <f>AZ5*'Fuel Ratio'!$D$11</f>
        <v>-2.5143317720795512E-2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Ratio'!$D$11</f>
        <v>5.7997576900555362E-2</v>
      </c>
      <c r="J6">
        <f>H6*'Fuel Ratio'!$D$11</f>
        <v>6.3329833197171295E-2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Ratio'!$D$11</f>
        <v>4.9903621316681641E-2</v>
      </c>
      <c r="U6">
        <f>S6*'Fuel Ratio'!$D$11</f>
        <v>7.0342572396656519E-2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Ratio'!$D$11</f>
        <v>4.0551253504849713E-2</v>
      </c>
      <c r="AF6">
        <f>AD6*'Fuel Ratio'!$D$11</f>
        <v>5.7159769375024157E-2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Ratio'!$D$11</f>
        <v>4.932657303191082E-2</v>
      </c>
      <c r="AQ6">
        <f>AO6*'Fuel Ratio'!$D$11</f>
        <v>6.9529183314323742E-2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Ratio'!$D$11</f>
        <v>4.112540040644759E-2</v>
      </c>
      <c r="BB6">
        <f>AZ6*'Fuel Ratio'!$D$11</f>
        <v>5.7969068759044291E-2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Ratio'!$D$11</f>
        <v>6.8560309938200892E-2</v>
      </c>
      <c r="J7">
        <f>H7*'Fuel Ratio'!$D$11</f>
        <v>7.9441651793764251E-2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Ratio'!$D$11</f>
        <v>5.8992253251834395E-2</v>
      </c>
      <c r="U7">
        <f>S7*'Fuel Ratio'!$D$11</f>
        <v>8.4205877330000123E-2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Ratio'!$D$11</f>
        <v>4.7936597652037935E-2</v>
      </c>
      <c r="AF7">
        <f>AD7*'Fuel Ratio'!$D$11</f>
        <v>6.8424971737785917E-2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Ratio'!$D$11</f>
        <v>5.8310110800934595E-2</v>
      </c>
      <c r="AQ7">
        <f>AO7*'Fuel Ratio'!$D$11</f>
        <v>8.3232183321452186E-2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Ratio'!$D$11</f>
        <v>4.8615310309139147E-2</v>
      </c>
      <c r="BB7">
        <f>AZ7*'Fuel Ratio'!$D$11</f>
        <v>6.9393770039186717E-2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0.11711276565769681</v>
      </c>
      <c r="J8">
        <f>SUM(J3:J7)</f>
        <v>0.36110852682923211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0.16969399915425187</v>
      </c>
      <c r="U8">
        <f>SUM(U3:U7)</f>
        <v>0.3085272933326772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0.23093748681725634</v>
      </c>
      <c r="AF8">
        <f>SUM(AF3:AF7)</f>
        <v>0.24728380566967265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0.13301572259724162</v>
      </c>
      <c r="AQ8">
        <f>SUM(AQ3:AQ7)</f>
        <v>0.34520556988968742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0.26006363389140491</v>
      </c>
      <c r="BB8">
        <f>SUM(BB3:BB7)</f>
        <v>0.21815765859552405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0.47822129248692891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0.47822129248692907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0.47822129248692902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0.47822129248692902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0.47822129248692896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C069-CE8C-4551-BA46-9436606D118A}">
  <dimension ref="A1:BB9"/>
  <sheetViews>
    <sheetView topLeftCell="A36" workbookViewId="0">
      <selection activeCell="BA3" sqref="BA3:BB7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Ratio'!$D$12</f>
        <v>7.7955599720673327E-2</v>
      </c>
      <c r="J3">
        <f>H3*'Fuel Ratio'!$D$12</f>
        <v>8.5122782552807322E-2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Ratio'!$D$12</f>
        <v>6.70763665634804E-2</v>
      </c>
      <c r="U3">
        <f>S3*'Fuel Ratio'!$D$12</f>
        <v>9.4548733069979879E-2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Ratio'!$D$12</f>
        <v>5.4505678604744354E-2</v>
      </c>
      <c r="AF3">
        <f>AD3*'Fuel Ratio'!$D$12</f>
        <v>7.6829487362302482E-2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Ratio'!$D$12</f>
        <v>6.6300745451166918E-2</v>
      </c>
      <c r="AQ3">
        <f>AO3*'Fuel Ratio'!$D$12</f>
        <v>9.345544198597093E-2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Ratio'!$D$12</f>
        <v>5.5277399915077227E-2</v>
      </c>
      <c r="BB3">
        <f>AZ3*'Fuel Ratio'!$D$12</f>
        <v>7.7917281408302647E-2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Ratio'!$D$12</f>
        <v>7.7955599720673327E-2</v>
      </c>
      <c r="J4">
        <f>H4*'Fuel Ratio'!$D$12</f>
        <v>8.5122782552807322E-2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Ratio'!$D$12</f>
        <v>6.70763665634804E-2</v>
      </c>
      <c r="U4">
        <f>S4*'Fuel Ratio'!$D$12</f>
        <v>9.4548733069979879E-2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Ratio'!$D$12</f>
        <v>5.4505678604744354E-2</v>
      </c>
      <c r="AF4">
        <f>AD4*'Fuel Ratio'!$D$12</f>
        <v>7.6829487362302482E-2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Ratio'!$D$12</f>
        <v>6.6300745451166918E-2</v>
      </c>
      <c r="AQ4">
        <f>AO4*'Fuel Ratio'!$D$12</f>
        <v>9.345544198597093E-2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Ratio'!$D$12</f>
        <v>5.5277399915077227E-2</v>
      </c>
      <c r="BB4">
        <f>AZ4*'Fuel Ratio'!$D$12</f>
        <v>7.7917281408302647E-2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Ratio'!$D$12</f>
        <v>-0.1686065588934563</v>
      </c>
      <c r="J5">
        <f>H5*'Fuel Ratio'!$D$12</f>
        <v>0.1232252305265245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Ratio'!$D$12</f>
        <v>-5.2432866241834672E-2</v>
      </c>
      <c r="U5">
        <f>S5*'Fuel Ratio'!$D$12</f>
        <v>1.7868302760777804E-2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Ratio'!$D$12</f>
        <v>8.2457793250642314E-2</v>
      </c>
      <c r="AF5">
        <f>AD5*'Fuel Ratio'!$D$12</f>
        <v>9.9189550782574701E-3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Ratio'!$D$12</f>
        <v>-9.8489062539938263E-2</v>
      </c>
      <c r="AQ5">
        <f>AO5*'Fuel Ratio'!$D$12</f>
        <v>7.1756875599271602E-2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Ratio'!$D$12</f>
        <v>0.11837934417926425</v>
      </c>
      <c r="BB5">
        <f>AZ5*'Fuel Ratio'!$D$12</f>
        <v>-3.3795591413290207E-2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Ratio'!$D$12</f>
        <v>7.7955599720673327E-2</v>
      </c>
      <c r="J6">
        <f>H6*'Fuel Ratio'!$D$12</f>
        <v>8.5122782552807322E-2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Ratio'!$D$12</f>
        <v>6.70763665634804E-2</v>
      </c>
      <c r="U6">
        <f>S6*'Fuel Ratio'!$D$12</f>
        <v>9.4548733069979879E-2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Ratio'!$D$12</f>
        <v>5.4505678604744354E-2</v>
      </c>
      <c r="AF6">
        <f>AD6*'Fuel Ratio'!$D$12</f>
        <v>7.6829487362302482E-2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Ratio'!$D$12</f>
        <v>6.6300745451166918E-2</v>
      </c>
      <c r="AQ6">
        <f>AO6*'Fuel Ratio'!$D$12</f>
        <v>9.345544198597093E-2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Ratio'!$D$12</f>
        <v>5.5277399915077227E-2</v>
      </c>
      <c r="BB6">
        <f>AZ6*'Fuel Ratio'!$D$12</f>
        <v>7.7917281408302647E-2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Ratio'!$D$12</f>
        <v>9.2153161630042377E-2</v>
      </c>
      <c r="J7">
        <f>H7*'Fuel Ratio'!$D$12</f>
        <v>0.10677897145603846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Ratio'!$D$12</f>
        <v>7.9292562325591828E-2</v>
      </c>
      <c r="U7">
        <f>S7*'Fuel Ratio'!$D$12</f>
        <v>0.11318265379467521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Ratio'!$D$12</f>
        <v>6.4432454220297863E-2</v>
      </c>
      <c r="AF7">
        <f>AD7*'Fuel Ratio'!$D$12</f>
        <v>9.1971251089252776E-2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Ratio'!$D$12</f>
        <v>7.8375682229962967E-2</v>
      </c>
      <c r="AQ7">
        <f>AO7*'Fuel Ratio'!$D$12</f>
        <v>0.11187389393888104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Ratio'!$D$12</f>
        <v>6.5344724267597534E-2</v>
      </c>
      <c r="BB7">
        <f>AZ7*'Fuel Ratio'!$D$12</f>
        <v>9.327343053587972E-2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0.15741340189860606</v>
      </c>
      <c r="J8">
        <f>SUM(J3:J7)</f>
        <v>0.48537254964098486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0.22808879577419838</v>
      </c>
      <c r="U8">
        <f>SUM(U3:U7)</f>
        <v>0.41469715576539268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0.31040728328517325</v>
      </c>
      <c r="AF8">
        <f>SUM(AF3:AF7)</f>
        <v>0.33237866825441764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0.17878885604352546</v>
      </c>
      <c r="AQ8">
        <f>SUM(AQ3:AQ7)</f>
        <v>0.46399709549606544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0.34955626819209346</v>
      </c>
      <c r="BB8">
        <f>SUM(BB3:BB7)</f>
        <v>0.29322968334749744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0.64278595153959095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0.64278595153959106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0.64278595153959084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0.64278595153959084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0.64278595153959084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6A1F-D7B5-4822-892B-F2D19A60C58B}">
  <dimension ref="A1:BB9"/>
  <sheetViews>
    <sheetView topLeftCell="A62" workbookViewId="0">
      <selection activeCell="S79" sqref="S79"/>
    </sheetView>
  </sheetViews>
  <sheetFormatPr defaultRowHeight="14.5" x14ac:dyDescent="0.35"/>
  <sheetData>
    <row r="1" spans="1:54" x14ac:dyDescent="0.35">
      <c r="A1" s="35" t="s">
        <v>22</v>
      </c>
      <c r="B1" s="35" t="s">
        <v>31</v>
      </c>
      <c r="C1" s="35" t="s">
        <v>49</v>
      </c>
      <c r="D1" s="35"/>
      <c r="F1" s="35" t="s">
        <v>22</v>
      </c>
      <c r="G1" s="35" t="s">
        <v>50</v>
      </c>
      <c r="H1" s="35"/>
      <c r="I1" s="35" t="s">
        <v>51</v>
      </c>
      <c r="J1" s="35"/>
      <c r="L1" s="35" t="s">
        <v>22</v>
      </c>
      <c r="M1" s="35" t="s">
        <v>31</v>
      </c>
      <c r="N1" s="35" t="s">
        <v>49</v>
      </c>
      <c r="O1" s="35"/>
      <c r="Q1" s="35" t="s">
        <v>22</v>
      </c>
      <c r="R1" s="35" t="s">
        <v>50</v>
      </c>
      <c r="S1" s="35"/>
      <c r="T1" s="35" t="s">
        <v>51</v>
      </c>
      <c r="U1" s="35"/>
      <c r="W1" s="35" t="s">
        <v>22</v>
      </c>
      <c r="X1" s="35" t="s">
        <v>31</v>
      </c>
      <c r="Y1" s="35" t="s">
        <v>49</v>
      </c>
      <c r="Z1" s="35"/>
      <c r="AB1" s="35" t="s">
        <v>22</v>
      </c>
      <c r="AC1" s="35" t="s">
        <v>50</v>
      </c>
      <c r="AD1" s="35"/>
      <c r="AE1" s="35" t="s">
        <v>51</v>
      </c>
      <c r="AF1" s="35"/>
      <c r="AH1" s="35" t="s">
        <v>22</v>
      </c>
      <c r="AI1" s="35" t="s">
        <v>31</v>
      </c>
      <c r="AJ1" s="35" t="s">
        <v>49</v>
      </c>
      <c r="AK1" s="35"/>
      <c r="AM1" s="35" t="s">
        <v>22</v>
      </c>
      <c r="AN1" s="35" t="s">
        <v>50</v>
      </c>
      <c r="AO1" s="35"/>
      <c r="AP1" s="35" t="s">
        <v>51</v>
      </c>
      <c r="AQ1" s="35"/>
      <c r="AS1" s="35" t="s">
        <v>22</v>
      </c>
      <c r="AT1" s="35" t="s">
        <v>31</v>
      </c>
      <c r="AU1" s="35" t="s">
        <v>49</v>
      </c>
      <c r="AV1" s="35"/>
      <c r="AX1" s="35" t="s">
        <v>22</v>
      </c>
      <c r="AY1" s="35" t="s">
        <v>50</v>
      </c>
      <c r="AZ1" s="35"/>
      <c r="BA1" s="35" t="s">
        <v>51</v>
      </c>
      <c r="BB1" s="35"/>
    </row>
    <row r="2" spans="1:54" x14ac:dyDescent="0.35">
      <c r="A2" s="35"/>
      <c r="B2" s="35"/>
      <c r="C2" t="s">
        <v>47</v>
      </c>
      <c r="D2" t="s">
        <v>48</v>
      </c>
      <c r="F2" s="35"/>
      <c r="G2" t="s">
        <v>47</v>
      </c>
      <c r="H2" s="3" t="s">
        <v>48</v>
      </c>
      <c r="I2" t="s">
        <v>52</v>
      </c>
      <c r="J2" t="s">
        <v>53</v>
      </c>
      <c r="L2" s="35"/>
      <c r="M2" s="35"/>
      <c r="N2" t="s">
        <v>47</v>
      </c>
      <c r="O2" t="s">
        <v>48</v>
      </c>
      <c r="Q2" s="35"/>
      <c r="R2" t="s">
        <v>47</v>
      </c>
      <c r="S2" s="3" t="s">
        <v>48</v>
      </c>
      <c r="T2" t="s">
        <v>52</v>
      </c>
      <c r="U2" t="s">
        <v>53</v>
      </c>
      <c r="W2" s="35"/>
      <c r="X2" s="35"/>
      <c r="Y2" t="s">
        <v>47</v>
      </c>
      <c r="Z2" t="s">
        <v>48</v>
      </c>
      <c r="AB2" s="35"/>
      <c r="AC2" t="s">
        <v>47</v>
      </c>
      <c r="AD2" s="3" t="s">
        <v>48</v>
      </c>
      <c r="AE2" t="s">
        <v>52</v>
      </c>
      <c r="AF2" t="s">
        <v>53</v>
      </c>
      <c r="AH2" s="35"/>
      <c r="AI2" s="35"/>
      <c r="AJ2" t="s">
        <v>47</v>
      </c>
      <c r="AK2" t="s">
        <v>48</v>
      </c>
      <c r="AM2" s="35"/>
      <c r="AN2" t="s">
        <v>47</v>
      </c>
      <c r="AO2" s="3" t="s">
        <v>48</v>
      </c>
      <c r="AP2" t="s">
        <v>52</v>
      </c>
      <c r="AQ2" t="s">
        <v>53</v>
      </c>
      <c r="AS2" s="35"/>
      <c r="AT2" s="35"/>
      <c r="AU2" t="s">
        <v>47</v>
      </c>
      <c r="AV2" t="s">
        <v>48</v>
      </c>
      <c r="AX2" s="35"/>
      <c r="AY2" t="s">
        <v>47</v>
      </c>
      <c r="AZ2" s="3" t="s">
        <v>48</v>
      </c>
      <c r="BA2" t="s">
        <v>52</v>
      </c>
      <c r="BB2" t="s">
        <v>53</v>
      </c>
    </row>
    <row r="3" spans="1:54" x14ac:dyDescent="0.35">
      <c r="A3" t="s">
        <v>26</v>
      </c>
      <c r="B3">
        <f>Grade!I2</f>
        <v>0</v>
      </c>
      <c r="C3">
        <f>Kecepatan!B2*(Parameter!$D$12*Kecepatan!B2^2)+(Grade!J2*Parameter!$D$7)</f>
        <v>382202.73750000005</v>
      </c>
      <c r="D3">
        <f>Kecepatan!C2*(Parameter!$D$12*Kecepatan!C2^2)+(Grade!O2*Parameter!$D$8)</f>
        <v>417342.18750000006</v>
      </c>
      <c r="F3" t="s">
        <v>26</v>
      </c>
      <c r="G3">
        <f>C3/$C$9</f>
        <v>0.12127769677286082</v>
      </c>
      <c r="H3">
        <f>D3/$C$9</f>
        <v>0.13242788263950472</v>
      </c>
      <c r="I3">
        <f>G3*'Fuel Ratio'!$D$13</f>
        <v>7.4597142287307447E-2</v>
      </c>
      <c r="J3">
        <f>H3*'Fuel Ratio'!$D$13</f>
        <v>8.1455550912776092E-2</v>
      </c>
      <c r="L3" t="s">
        <v>26</v>
      </c>
      <c r="M3">
        <f>Grade!T2</f>
        <v>0</v>
      </c>
      <c r="N3">
        <f>Kecepatan!B2*(Parameter!$D$12*Kecepatan!B2^2)+(Grade!K2*Parameter!$D$7)</f>
        <v>382202.73750000005</v>
      </c>
      <c r="O3">
        <f>Kecepatan!C2*(Parameter!$D$12*Kecepatan!C2^2)+(Grade!P2*Parameter!$D$7)</f>
        <v>538740.93750000012</v>
      </c>
      <c r="Q3" t="s">
        <v>26</v>
      </c>
      <c r="R3">
        <f>N3/$N$9</f>
        <v>0.10435257087187441</v>
      </c>
      <c r="S3">
        <f>O3/$N$9</f>
        <v>0.14709209627795725</v>
      </c>
      <c r="T3">
        <f>R3*'Fuel Ratio'!$D$13</f>
        <v>6.4186604664457331E-2</v>
      </c>
      <c r="U3">
        <f>S3*'Fuel Ratio'!$D$13</f>
        <v>9.0475415738935194E-2</v>
      </c>
      <c r="W3" t="s">
        <v>26</v>
      </c>
      <c r="X3">
        <f>Grade!AE2</f>
        <v>0</v>
      </c>
      <c r="Y3">
        <f>Kecepatan!B2*(Parameter!$D$12*Kecepatan!B2^2)+(Grade!L2*Parameter!$D$7)</f>
        <v>382202.73750000005</v>
      </c>
      <c r="Z3">
        <f>Kecepatan!C2*(Parameter!$D$12*Kecepatan!C2^2)+(Grade!Q2*Parameter!$D$7)</f>
        <v>538740.93750000012</v>
      </c>
      <c r="AB3" t="s">
        <v>26</v>
      </c>
      <c r="AC3">
        <f>Y3/$Y$9</f>
        <v>8.479600164594947E-2</v>
      </c>
      <c r="AD3">
        <f>Z3/$Y$9</f>
        <v>0.11952577242592451</v>
      </c>
      <c r="AE3">
        <f>AC3*'Fuel Ratio'!$D$13</f>
        <v>5.2157482937894649E-2</v>
      </c>
      <c r="AF3">
        <f>AD3*'Fuel Ratio'!$D$13</f>
        <v>7.3519544730109673E-2</v>
      </c>
      <c r="AH3" t="s">
        <v>26</v>
      </c>
      <c r="AI3">
        <f>Grade!AP2</f>
        <v>0</v>
      </c>
      <c r="AJ3">
        <f>Kecepatan!B2*(Parameter!$D$12*Kecepatan!B2^2)+(Grade!M2*Parameter!$D$7)</f>
        <v>382202.73750000005</v>
      </c>
      <c r="AK3">
        <f>Kecepatan!C2*(Parameter!$D$12*Kecepatan!C2^2)+(Grade!R2*Parameter!$D$7)</f>
        <v>538740.93750000012</v>
      </c>
      <c r="AM3" t="s">
        <v>26</v>
      </c>
      <c r="AN3">
        <f>AJ3/$AJ$9</f>
        <v>0.10314591551412161</v>
      </c>
      <c r="AO3">
        <f>AK3/$AJ$9</f>
        <v>0.1453912329012915</v>
      </c>
      <c r="AP3">
        <f>AN3*'Fuel Ratio'!$D$13</f>
        <v>6.344439860506447E-2</v>
      </c>
      <c r="AQ3">
        <f>AO3*'Fuel Ratio'!$D$13</f>
        <v>8.9429225460783426E-2</v>
      </c>
      <c r="AS3" t="s">
        <v>26</v>
      </c>
      <c r="AT3">
        <f>Grade!BA2</f>
        <v>0</v>
      </c>
      <c r="AU3">
        <f>Kecepatan!B2*(Parameter!$D$12*Kecepatan!B2^2)+(Grade!N2*Parameter!$D$7)</f>
        <v>382202.73750000005</v>
      </c>
      <c r="AV3">
        <f>Kecepatan!C2*(Parameter!$D$12*Kecepatan!C2^2)+(Grade!S2*Parameter!$D$7)</f>
        <v>538740.93750000012</v>
      </c>
      <c r="AX3" t="s">
        <v>26</v>
      </c>
      <c r="AY3">
        <f>AU3/$AU$9</f>
        <v>8.5996589973190388E-2</v>
      </c>
      <c r="AZ3">
        <f>AV3/$AU$9</f>
        <v>0.12121808390752223</v>
      </c>
      <c r="BA3">
        <f>AY3*'Fuel Ratio'!$D$13</f>
        <v>5.289595720528948E-2</v>
      </c>
      <c r="BB3">
        <f>AZ3*'Fuel Ratio'!$D$13</f>
        <v>7.4560474791830963E-2</v>
      </c>
    </row>
    <row r="4" spans="1:54" x14ac:dyDescent="0.35">
      <c r="A4" t="s">
        <v>27</v>
      </c>
      <c r="B4">
        <f>Grade!I3</f>
        <v>0</v>
      </c>
      <c r="C4">
        <f>Kecepatan!B3*(Parameter!$D$12*Kecepatan!B3^2)+(Grade!J3*Parameter!$D$7)</f>
        <v>382202.73750000005</v>
      </c>
      <c r="D4">
        <f>Kecepatan!C3*(Parameter!$D$12*Kecepatan!C3^2)+(Grade!O3*Parameter!$D$8)</f>
        <v>417342.18750000006</v>
      </c>
      <c r="F4" t="s">
        <v>27</v>
      </c>
      <c r="G4">
        <f t="shared" ref="G4:H7" si="0">C4/$C$9</f>
        <v>0.12127769677286082</v>
      </c>
      <c r="H4">
        <f t="shared" si="0"/>
        <v>0.13242788263950472</v>
      </c>
      <c r="I4">
        <f>G4*'Fuel Ratio'!$D$13</f>
        <v>7.4597142287307447E-2</v>
      </c>
      <c r="J4">
        <f>H4*'Fuel Ratio'!$D$13</f>
        <v>8.1455550912776092E-2</v>
      </c>
      <c r="L4" t="s">
        <v>27</v>
      </c>
      <c r="M4">
        <f>Grade!T3</f>
        <v>0</v>
      </c>
      <c r="N4">
        <f>Kecepatan!B3*(Parameter!$D$12*Kecepatan!B3^2)+(Grade!K3*Parameter!$D$7)</f>
        <v>382202.73750000005</v>
      </c>
      <c r="O4">
        <f>Kecepatan!C3*(Parameter!$D$12*Kecepatan!C3^2)+(Grade!P3*Parameter!$D$7)</f>
        <v>538740.93750000012</v>
      </c>
      <c r="Q4" t="s">
        <v>27</v>
      </c>
      <c r="R4">
        <f t="shared" ref="R4:S7" si="1">N4/$N$9</f>
        <v>0.10435257087187441</v>
      </c>
      <c r="S4">
        <f t="shared" si="1"/>
        <v>0.14709209627795725</v>
      </c>
      <c r="T4">
        <f>R4*'Fuel Ratio'!$D$13</f>
        <v>6.4186604664457331E-2</v>
      </c>
      <c r="U4">
        <f>S4*'Fuel Ratio'!$D$13</f>
        <v>9.0475415738935194E-2</v>
      </c>
      <c r="W4" t="s">
        <v>27</v>
      </c>
      <c r="X4">
        <f>Grade!AE3</f>
        <v>0</v>
      </c>
      <c r="Y4">
        <f>Kecepatan!B3*(Parameter!$D$12*Kecepatan!B3^2)+(Grade!L3*Parameter!$D$7)</f>
        <v>382202.73750000005</v>
      </c>
      <c r="Z4">
        <f>Kecepatan!C3*(Parameter!$D$12*Kecepatan!C3^2)+(Grade!Q3*Parameter!$D$7)</f>
        <v>538740.93750000012</v>
      </c>
      <c r="AB4" t="s">
        <v>27</v>
      </c>
      <c r="AC4">
        <f t="shared" ref="AC4:AD7" si="2">Y4/$Y$9</f>
        <v>8.479600164594947E-2</v>
      </c>
      <c r="AD4">
        <f t="shared" si="2"/>
        <v>0.11952577242592451</v>
      </c>
      <c r="AE4">
        <f>AC4*'Fuel Ratio'!$D$13</f>
        <v>5.2157482937894649E-2</v>
      </c>
      <c r="AF4">
        <f>AD4*'Fuel Ratio'!$D$13</f>
        <v>7.3519544730109673E-2</v>
      </c>
      <c r="AH4" t="s">
        <v>27</v>
      </c>
      <c r="AI4">
        <f>Grade!AP3</f>
        <v>0</v>
      </c>
      <c r="AJ4">
        <f>Kecepatan!B3*(Parameter!$D$12*Kecepatan!B3^2)+(Grade!M3*Parameter!$D$7)</f>
        <v>382202.73750000005</v>
      </c>
      <c r="AK4">
        <f>Kecepatan!C3*(Parameter!$D$12*Kecepatan!C3^2)+(Grade!R3*Parameter!$D$7)</f>
        <v>538740.93750000012</v>
      </c>
      <c r="AM4" t="s">
        <v>27</v>
      </c>
      <c r="AN4">
        <f t="shared" ref="AN4:AO7" si="3">AJ4/$AJ$9</f>
        <v>0.10314591551412161</v>
      </c>
      <c r="AO4">
        <f t="shared" si="3"/>
        <v>0.1453912329012915</v>
      </c>
      <c r="AP4">
        <f>AN4*'Fuel Ratio'!$D$13</f>
        <v>6.344439860506447E-2</v>
      </c>
      <c r="AQ4">
        <f>AO4*'Fuel Ratio'!$D$13</f>
        <v>8.9429225460783426E-2</v>
      </c>
      <c r="AS4" t="s">
        <v>27</v>
      </c>
      <c r="AT4">
        <f>Grade!BA3</f>
        <v>0</v>
      </c>
      <c r="AU4">
        <f>Kecepatan!B3*(Parameter!$D$12*Kecepatan!B3^2)+(Grade!N3*Parameter!$D$7)</f>
        <v>382202.73750000005</v>
      </c>
      <c r="AV4">
        <f>Kecepatan!C3*(Parameter!$D$12*Kecepatan!C3^2)+(Grade!S3*Parameter!$D$7)</f>
        <v>538740.93750000012</v>
      </c>
      <c r="AX4" t="s">
        <v>27</v>
      </c>
      <c r="AY4">
        <f t="shared" ref="AY4:AZ7" si="4">AU4/$AU$9</f>
        <v>8.5996589973190388E-2</v>
      </c>
      <c r="AZ4">
        <f t="shared" si="4"/>
        <v>0.12121808390752223</v>
      </c>
      <c r="BA4">
        <f>AY4*'Fuel Ratio'!$D$13</f>
        <v>5.289595720528948E-2</v>
      </c>
      <c r="BB4">
        <f>AZ4*'Fuel Ratio'!$D$13</f>
        <v>7.4560474791830963E-2</v>
      </c>
    </row>
    <row r="5" spans="1:54" x14ac:dyDescent="0.35">
      <c r="A5" t="s">
        <v>28</v>
      </c>
      <c r="B5">
        <f>Grade!I4</f>
        <v>0.34</v>
      </c>
      <c r="C5">
        <f>Kecepatan!B4*(Parameter!$D$12*Kecepatan!B4^2)+(Grade!J4*Parameter!$D$7)</f>
        <v>-826648.612805738</v>
      </c>
      <c r="D5">
        <f>Kecepatan!C4*(Parameter!$D$12*Kecepatan!C4^2)+(Grade!O4*Parameter!$D$8)</f>
        <v>604151.85830218694</v>
      </c>
      <c r="F5" t="s">
        <v>28</v>
      </c>
      <c r="G5">
        <f t="shared" si="0"/>
        <v>-0.26230591768474792</v>
      </c>
      <c r="H5">
        <f t="shared" si="0"/>
        <v>0.19170492172608522</v>
      </c>
      <c r="I5">
        <f>G5*'Fuel Ratio'!$D$13</f>
        <v>-0.16134270673839679</v>
      </c>
      <c r="J5">
        <f>H5*'Fuel Ratio'!$D$13</f>
        <v>0.11791648179105321</v>
      </c>
      <c r="L5" t="s">
        <v>28</v>
      </c>
      <c r="M5">
        <v>0.1</v>
      </c>
      <c r="N5">
        <f>Kecepatan!B4*(Parameter!$D$12*Kecepatan!B4^2)+(Grade!K4*Parameter!$D$7)</f>
        <v>-298763.72319056536</v>
      </c>
      <c r="O5">
        <f>Kecepatan!C4*(Parameter!$D$12*Kecepatan!C4^2)+(Grade!P4*Parameter!$D$7)</f>
        <v>101814.01556962528</v>
      </c>
      <c r="Q5" t="s">
        <v>28</v>
      </c>
      <c r="R5">
        <f t="shared" si="1"/>
        <v>-8.1571269745781286E-2</v>
      </c>
      <c r="S5">
        <f t="shared" si="1"/>
        <v>2.7798216059296135E-2</v>
      </c>
      <c r="T5">
        <f>R5*'Fuel Ratio'!$D$13</f>
        <v>-5.0173970793482812E-2</v>
      </c>
      <c r="U5">
        <f>S5*'Fuel Ratio'!$D$13</f>
        <v>1.7098506435131014E-2</v>
      </c>
      <c r="W5" t="s">
        <v>28</v>
      </c>
      <c r="X5">
        <v>0.2</v>
      </c>
      <c r="Y5">
        <f>Kecepatan!B4*(Parameter!$D$12*Kecepatan!B4^2)+(Grade!L4*Parameter!$D$7)</f>
        <v>578207.5393858375</v>
      </c>
      <c r="Z5">
        <f>Kecepatan!C4*(Parameter!$D$12*Kecepatan!C4^2)+(Grade!Q4*Parameter!$D$7)</f>
        <v>69553.33611275407</v>
      </c>
      <c r="AB5" t="s">
        <v>28</v>
      </c>
      <c r="AC5">
        <f t="shared" si="2"/>
        <v>0.12828188458870435</v>
      </c>
      <c r="AD5">
        <f t="shared" si="2"/>
        <v>1.5431194559401527E-2</v>
      </c>
      <c r="AE5">
        <f>AC5*'Fuel Ratio'!$D$13</f>
        <v>7.8905373800675249E-2</v>
      </c>
      <c r="AF5">
        <f>AD5*'Fuel Ratio'!$D$13</f>
        <v>9.4916299273618398E-3</v>
      </c>
      <c r="AH5" t="s">
        <v>28</v>
      </c>
      <c r="AI5">
        <v>0.3</v>
      </c>
      <c r="AJ5">
        <f>Kecepatan!B4*(Parameter!$D$12*Kecepatan!B4^2)+(Grade!M4*Parameter!$D$7)</f>
        <v>-567758.16109486273</v>
      </c>
      <c r="AK5">
        <f>Kecepatan!C4*(Parameter!$D$12*Kecepatan!C4^2)+(Grade!R4*Parameter!$D$7)</f>
        <v>413655.59469747799</v>
      </c>
      <c r="AM5" t="s">
        <v>28</v>
      </c>
      <c r="AN5">
        <f t="shared" si="3"/>
        <v>-0.15322217653332154</v>
      </c>
      <c r="AO5">
        <f t="shared" si="3"/>
        <v>0.11163416908443727</v>
      </c>
      <c r="AP5">
        <f>AN5*'Fuel Ratio'!$D$13</f>
        <v>-9.4245989234393882E-2</v>
      </c>
      <c r="AQ5">
        <f>AO5*'Fuel Ratio'!$D$13</f>
        <v>6.8665469553843214E-2</v>
      </c>
      <c r="AS5" t="s">
        <v>28</v>
      </c>
      <c r="AT5">
        <v>0.4</v>
      </c>
      <c r="AU5">
        <f>Kecepatan!B4*(Parameter!$D$12*Kecepatan!B4^2)+(Grade!N4*Parameter!$D$7)</f>
        <v>818506.46879700082</v>
      </c>
      <c r="AV5">
        <f>Kecepatan!C4*(Parameter!$D$12*Kecepatan!C4^2)+(Grade!S4*Parameter!$D$7)</f>
        <v>-233671.76411037904</v>
      </c>
      <c r="AX5" t="s">
        <v>28</v>
      </c>
      <c r="AY5">
        <f t="shared" si="4"/>
        <v>0.18416604142595819</v>
      </c>
      <c r="AZ5">
        <f t="shared" si="4"/>
        <v>-5.2576742432443535E-2</v>
      </c>
      <c r="BA5">
        <f>AY5*'Fuel Ratio'!$D$13</f>
        <v>0.11327936432098099</v>
      </c>
      <c r="BB5">
        <f>AZ5*'Fuel Ratio'!$D$13</f>
        <v>-3.2339620891561789E-2</v>
      </c>
    </row>
    <row r="6" spans="1:54" x14ac:dyDescent="0.35">
      <c r="A6" t="s">
        <v>29</v>
      </c>
      <c r="B6">
        <f>Grade!I5</f>
        <v>0</v>
      </c>
      <c r="C6">
        <f>Kecepatan!B5*(Parameter!$D$12*Kecepatan!B5^2)+(Grade!J5*Parameter!$D$7)</f>
        <v>382202.73750000005</v>
      </c>
      <c r="D6">
        <f>Kecepatan!C5*(Parameter!$D$12*Kecepatan!C5^2)+(Grade!O5*Parameter!$D$8)</f>
        <v>417342.18750000006</v>
      </c>
      <c r="F6" t="s">
        <v>29</v>
      </c>
      <c r="G6">
        <f t="shared" si="0"/>
        <v>0.12127769677286082</v>
      </c>
      <c r="H6">
        <f t="shared" si="0"/>
        <v>0.13242788263950472</v>
      </c>
      <c r="I6">
        <f>G6*'Fuel Ratio'!$D$13</f>
        <v>7.4597142287307447E-2</v>
      </c>
      <c r="J6">
        <f>H6*'Fuel Ratio'!$D$13</f>
        <v>8.1455550912776092E-2</v>
      </c>
      <c r="L6" t="s">
        <v>29</v>
      </c>
      <c r="M6">
        <f>Grade!T5</f>
        <v>0</v>
      </c>
      <c r="N6">
        <f>Kecepatan!B5*(Parameter!$D$12*Kecepatan!B5^2)+(Grade!K5*Parameter!$D$7)</f>
        <v>382202.73750000005</v>
      </c>
      <c r="O6">
        <f>Kecepatan!C5*(Parameter!$D$12*Kecepatan!C5^2)+(Grade!P5*Parameter!$D$7)</f>
        <v>538740.93750000012</v>
      </c>
      <c r="Q6" t="s">
        <v>29</v>
      </c>
      <c r="R6">
        <f t="shared" si="1"/>
        <v>0.10435257087187441</v>
      </c>
      <c r="S6">
        <f t="shared" si="1"/>
        <v>0.14709209627795725</v>
      </c>
      <c r="T6">
        <f>R6*'Fuel Ratio'!$D$13</f>
        <v>6.4186604664457331E-2</v>
      </c>
      <c r="U6">
        <f>S6*'Fuel Ratio'!$D$13</f>
        <v>9.0475415738935194E-2</v>
      </c>
      <c r="W6" t="s">
        <v>29</v>
      </c>
      <c r="X6">
        <f>Grade!AE5</f>
        <v>0</v>
      </c>
      <c r="Y6">
        <f>Kecepatan!B5*(Parameter!$D$12*Kecepatan!B5^2)+(Grade!L5*Parameter!$D$7)</f>
        <v>382202.73750000005</v>
      </c>
      <c r="Z6">
        <f>Kecepatan!C5*(Parameter!$D$12*Kecepatan!C5^2)+(Grade!Q5*Parameter!$D$7)</f>
        <v>538740.93750000012</v>
      </c>
      <c r="AB6" t="s">
        <v>29</v>
      </c>
      <c r="AC6">
        <f t="shared" si="2"/>
        <v>8.479600164594947E-2</v>
      </c>
      <c r="AD6">
        <f t="shared" si="2"/>
        <v>0.11952577242592451</v>
      </c>
      <c r="AE6">
        <f>AC6*'Fuel Ratio'!$D$13</f>
        <v>5.2157482937894649E-2</v>
      </c>
      <c r="AF6">
        <f>AD6*'Fuel Ratio'!$D$13</f>
        <v>7.3519544730109673E-2</v>
      </c>
      <c r="AH6" t="s">
        <v>29</v>
      </c>
      <c r="AI6">
        <f>Grade!AP5</f>
        <v>0</v>
      </c>
      <c r="AJ6">
        <f>Kecepatan!B5*(Parameter!$D$12*Kecepatan!B5^2)+(Grade!M5*Parameter!$D$7)</f>
        <v>382202.73750000005</v>
      </c>
      <c r="AK6">
        <f>Kecepatan!C5*(Parameter!$D$12*Kecepatan!C5^2)+(Grade!R5*Parameter!$D$7)</f>
        <v>538740.93750000012</v>
      </c>
      <c r="AM6" t="s">
        <v>29</v>
      </c>
      <c r="AN6">
        <f t="shared" si="3"/>
        <v>0.10314591551412161</v>
      </c>
      <c r="AO6">
        <f t="shared" si="3"/>
        <v>0.1453912329012915</v>
      </c>
      <c r="AP6">
        <f>AN6*'Fuel Ratio'!$D$13</f>
        <v>6.344439860506447E-2</v>
      </c>
      <c r="AQ6">
        <f>AO6*'Fuel Ratio'!$D$13</f>
        <v>8.9429225460783426E-2</v>
      </c>
      <c r="AS6" t="s">
        <v>29</v>
      </c>
      <c r="AT6">
        <f>Grade!BA5</f>
        <v>0</v>
      </c>
      <c r="AU6">
        <f>Kecepatan!B5*(Parameter!$D$12*Kecepatan!B5^2)+(Grade!N5*Parameter!$D$7)</f>
        <v>382202.73750000005</v>
      </c>
      <c r="AV6">
        <f>Kecepatan!C5*(Parameter!$D$12*Kecepatan!C5^2)+(Grade!S5*Parameter!$D$7)</f>
        <v>538740.93750000012</v>
      </c>
      <c r="AX6" t="s">
        <v>29</v>
      </c>
      <c r="AY6">
        <f t="shared" si="4"/>
        <v>8.5996589973190388E-2</v>
      </c>
      <c r="AZ6">
        <f t="shared" si="4"/>
        <v>0.12121808390752223</v>
      </c>
      <c r="BA6">
        <f>AY6*'Fuel Ratio'!$D$13</f>
        <v>5.289595720528948E-2</v>
      </c>
      <c r="BB6">
        <f>AZ6*'Fuel Ratio'!$D$13</f>
        <v>7.4560474791830963E-2</v>
      </c>
    </row>
    <row r="7" spans="1:54" x14ac:dyDescent="0.35">
      <c r="A7" t="s">
        <v>30</v>
      </c>
      <c r="B7">
        <f>Grade!I6</f>
        <v>0</v>
      </c>
      <c r="C7">
        <f>Kecepatan!B6*(Parameter!$D$12*Kecepatan!B6^2)+(Grade!J6*Parameter!$D$7)</f>
        <v>451810.91250000003</v>
      </c>
      <c r="D7">
        <f>Kecepatan!C6*(Parameter!$D$12*Kecepatan!C6^2)+(Grade!O6*Parameter!$D$8)</f>
        <v>523518.71250000008</v>
      </c>
      <c r="F7" t="s">
        <v>30</v>
      </c>
      <c r="G7">
        <f t="shared" si="0"/>
        <v>0.14336523909602963</v>
      </c>
      <c r="H7">
        <f t="shared" si="0"/>
        <v>0.16611901862553641</v>
      </c>
      <c r="I7">
        <f>G7*'Fuel Ratio'!$D$13</f>
        <v>8.8183049517589374E-2</v>
      </c>
      <c r="J7">
        <f>H7*'Fuel Ratio'!$D$13</f>
        <v>0.10217875502901258</v>
      </c>
      <c r="L7" t="s">
        <v>30</v>
      </c>
      <c r="M7">
        <f>Grade!T6</f>
        <v>0</v>
      </c>
      <c r="N7">
        <f>Kecepatan!B6*(Parameter!$D$12*Kecepatan!B6^2)+(Grade!K6*Parameter!$D$7)</f>
        <v>451810.91250000003</v>
      </c>
      <c r="O7">
        <f>Kecepatan!C6*(Parameter!$D$12*Kecepatan!C6^2)+(Grade!P6*Parameter!$D$7)</f>
        <v>644917.46250000014</v>
      </c>
      <c r="Q7" t="s">
        <v>30</v>
      </c>
      <c r="R7">
        <f t="shared" si="1"/>
        <v>0.12335764671843172</v>
      </c>
      <c r="S7">
        <f t="shared" si="1"/>
        <v>0.1760814055185585</v>
      </c>
      <c r="T7">
        <f>R7*'Fuel Ratio'!$D$13</f>
        <v>7.5876506310280464E-2</v>
      </c>
      <c r="U7">
        <f>S7*'Fuel Ratio'!$D$13</f>
        <v>0.10830655603740276</v>
      </c>
      <c r="W7" t="s">
        <v>30</v>
      </c>
      <c r="X7">
        <f>Grade!AE6</f>
        <v>0</v>
      </c>
      <c r="Y7">
        <f>Kecepatan!B6*(Parameter!$D$12*Kecepatan!B6^2)+(Grade!L6*Parameter!$D$7)</f>
        <v>451810.91250000003</v>
      </c>
      <c r="Z7">
        <f>Kecepatan!C6*(Parameter!$D$12*Kecepatan!C6^2)+(Grade!Q6*Parameter!$D$7)</f>
        <v>644917.46250000014</v>
      </c>
      <c r="AB7" t="s">
        <v>30</v>
      </c>
      <c r="AC7">
        <f t="shared" si="2"/>
        <v>0.10023936283294656</v>
      </c>
      <c r="AD7">
        <f t="shared" si="2"/>
        <v>0.1430822358033256</v>
      </c>
      <c r="AE7">
        <f>AC7*'Fuel Ratio'!$D$13</f>
        <v>6.1656596480744355E-2</v>
      </c>
      <c r="AF7">
        <f>AD7*'Fuel Ratio'!$D$13</f>
        <v>8.8008975986714547E-2</v>
      </c>
      <c r="AH7" t="s">
        <v>30</v>
      </c>
      <c r="AI7">
        <f>Grade!AP6</f>
        <v>0</v>
      </c>
      <c r="AJ7">
        <f>Kecepatan!B6*(Parameter!$D$12*Kecepatan!B6^2)+(Grade!M6*Parameter!$D$7)</f>
        <v>451810.91250000003</v>
      </c>
      <c r="AK7">
        <f>Kecepatan!C6*(Parameter!$D$12*Kecepatan!C6^2)+(Grade!R6*Parameter!$D$7)</f>
        <v>644917.46250000014</v>
      </c>
      <c r="AM7" t="s">
        <v>30</v>
      </c>
      <c r="AN7">
        <f t="shared" si="3"/>
        <v>0.1219312308276787</v>
      </c>
      <c r="AO7">
        <f t="shared" si="3"/>
        <v>0.17404533137496617</v>
      </c>
      <c r="AP7">
        <f>AN7*'Fuel Ratio'!$D$13</f>
        <v>7.4999126940496874E-2</v>
      </c>
      <c r="AQ7">
        <f>AO7*'Fuel Ratio'!$D$13</f>
        <v>0.10705417974201904</v>
      </c>
      <c r="AS7" t="s">
        <v>30</v>
      </c>
      <c r="AT7">
        <f>Grade!BA6</f>
        <v>0</v>
      </c>
      <c r="AU7">
        <f>Kecepatan!B6*(Parameter!$D$12*Kecepatan!B6^2)+(Grade!N6*Parameter!$D$7)</f>
        <v>451810.91250000003</v>
      </c>
      <c r="AV7">
        <f>Kecepatan!C6*(Parameter!$D$12*Kecepatan!C6^2)+(Grade!S6*Parameter!$D$7)</f>
        <v>644917.46250000014</v>
      </c>
      <c r="AX7" t="s">
        <v>30</v>
      </c>
      <c r="AY7">
        <f t="shared" si="4"/>
        <v>0.1016586067431699</v>
      </c>
      <c r="AZ7">
        <f t="shared" si="4"/>
        <v>0.14510807262117761</v>
      </c>
      <c r="BA7">
        <f>AY7*'Fuel Ratio'!$D$13</f>
        <v>6.2529564410780253E-2</v>
      </c>
      <c r="BB7">
        <f>AZ7*'Fuel Ratio'!$D$13</f>
        <v>8.9255055367948227E-2</v>
      </c>
    </row>
    <row r="8" spans="1:54" x14ac:dyDescent="0.35">
      <c r="A8" s="35" t="s">
        <v>54</v>
      </c>
      <c r="B8" s="35"/>
      <c r="C8">
        <f>SUM(C3:C7)</f>
        <v>771770.51219426212</v>
      </c>
      <c r="D8">
        <f>SUM(D3:D7)</f>
        <v>2379697.1333021871</v>
      </c>
      <c r="F8" s="35" t="s">
        <v>54</v>
      </c>
      <c r="G8" s="35"/>
      <c r="H8" s="35"/>
      <c r="I8">
        <f>SUM(I3:I7)</f>
        <v>0.15063176964111491</v>
      </c>
      <c r="J8">
        <f>SUM(J3:J7)</f>
        <v>0.46446188955839413</v>
      </c>
      <c r="L8" s="35" t="s">
        <v>54</v>
      </c>
      <c r="M8" s="35"/>
      <c r="N8">
        <f>SUM(N3:N7)</f>
        <v>1299655.4018094349</v>
      </c>
      <c r="O8">
        <f>SUM(O3:O7)</f>
        <v>2362954.2905696258</v>
      </c>
      <c r="Q8" s="35" t="s">
        <v>54</v>
      </c>
      <c r="R8" s="35"/>
      <c r="S8" s="35"/>
      <c r="T8">
        <f>SUM(T3:T7)</f>
        <v>0.21826234951016965</v>
      </c>
      <c r="U8">
        <f>SUM(U3:U7)</f>
        <v>0.39683130968933933</v>
      </c>
      <c r="W8" s="35" t="s">
        <v>54</v>
      </c>
      <c r="X8" s="35"/>
      <c r="Y8">
        <f>SUM(Y3:Y7)</f>
        <v>2176626.6643858375</v>
      </c>
      <c r="Z8">
        <f>SUM(Z3:Z7)</f>
        <v>2330693.6111127548</v>
      </c>
      <c r="AB8" s="35" t="s">
        <v>54</v>
      </c>
      <c r="AC8" s="35"/>
      <c r="AD8" s="35"/>
      <c r="AE8">
        <f>SUM(AE3:AE7)</f>
        <v>0.29703441909510359</v>
      </c>
      <c r="AF8">
        <f>SUM(AF3:AF7)</f>
        <v>0.31805924010440539</v>
      </c>
      <c r="AH8" s="35" t="s">
        <v>54</v>
      </c>
      <c r="AI8" s="35"/>
      <c r="AJ8">
        <f>SUM(AJ3:AJ7)</f>
        <v>1030660.9639051375</v>
      </c>
      <c r="AK8">
        <f>SUM(AK3:AK7)</f>
        <v>2674795.8696974786</v>
      </c>
      <c r="AM8" s="35" t="s">
        <v>54</v>
      </c>
      <c r="AN8" s="35"/>
      <c r="AO8" s="35"/>
      <c r="AP8">
        <f>SUM(AP3:AP7)</f>
        <v>0.1710863335212964</v>
      </c>
      <c r="AQ8">
        <f>SUM(AQ3:AQ7)</f>
        <v>0.44400732567821249</v>
      </c>
      <c r="AS8" s="35" t="s">
        <v>54</v>
      </c>
      <c r="AT8" s="35"/>
      <c r="AU8">
        <f>SUM(AU3:AU7)</f>
        <v>2416925.5937970011</v>
      </c>
      <c r="AV8">
        <f>SUM(AV3:AV7)</f>
        <v>2027468.5108896215</v>
      </c>
      <c r="AX8" s="35" t="s">
        <v>54</v>
      </c>
      <c r="AY8" s="35"/>
      <c r="AZ8" s="35"/>
      <c r="BA8">
        <f>SUM(BA3:BA7)</f>
        <v>0.33449680034762974</v>
      </c>
      <c r="BB8">
        <f>SUM(BB3:BB7)</f>
        <v>0.28059685885187935</v>
      </c>
    </row>
    <row r="9" spans="1:54" x14ac:dyDescent="0.35">
      <c r="A9" s="35"/>
      <c r="B9" s="35"/>
      <c r="C9" s="35">
        <f>SUM(C8:D8)</f>
        <v>3151467.6454964494</v>
      </c>
      <c r="D9" s="35"/>
      <c r="F9" s="35"/>
      <c r="G9" s="35"/>
      <c r="H9" s="35"/>
      <c r="I9" s="35">
        <f>SUM(I8:J8)</f>
        <v>0.61509365919950909</v>
      </c>
      <c r="J9" s="35"/>
      <c r="L9" s="35"/>
      <c r="M9" s="35"/>
      <c r="N9" s="35">
        <f>SUM(N8:O8)</f>
        <v>3662609.6923790607</v>
      </c>
      <c r="O9" s="35"/>
      <c r="Q9" s="35"/>
      <c r="R9" s="35"/>
      <c r="S9" s="35"/>
      <c r="T9" s="35">
        <f>SUM(T8:U8)</f>
        <v>0.61509365919950898</v>
      </c>
      <c r="U9" s="35"/>
      <c r="W9" s="35"/>
      <c r="X9" s="35"/>
      <c r="Y9" s="35">
        <f>SUM(Y8:Z8)</f>
        <v>4507320.2754985923</v>
      </c>
      <c r="Z9" s="35"/>
      <c r="AB9" s="35"/>
      <c r="AC9" s="35"/>
      <c r="AD9" s="35"/>
      <c r="AE9" s="35">
        <f>SUM(AE8:AF8)</f>
        <v>0.61509365919950898</v>
      </c>
      <c r="AF9" s="35"/>
      <c r="AH9" s="35"/>
      <c r="AI9" s="35"/>
      <c r="AJ9" s="35">
        <f>SUM(AJ8:AK8)</f>
        <v>3705456.8336026161</v>
      </c>
      <c r="AK9" s="35"/>
      <c r="AM9" s="35"/>
      <c r="AN9" s="35"/>
      <c r="AO9" s="35"/>
      <c r="AP9" s="35">
        <f>SUM(AP8:AQ8)</f>
        <v>0.61509365919950887</v>
      </c>
      <c r="AQ9" s="35"/>
      <c r="AS9" s="35"/>
      <c r="AT9" s="35"/>
      <c r="AU9" s="35">
        <f>SUM(AU8:AV8)</f>
        <v>4444394.1046866225</v>
      </c>
      <c r="AV9" s="35"/>
      <c r="AX9" s="35"/>
      <c r="AY9" s="35"/>
      <c r="AZ9" s="35"/>
      <c r="BA9" s="35">
        <f>SUM(BA8:BB8)</f>
        <v>0.61509365919950909</v>
      </c>
      <c r="BB9" s="35"/>
    </row>
  </sheetData>
  <mergeCells count="50">
    <mergeCell ref="BA9:BB9"/>
    <mergeCell ref="AS8:AT9"/>
    <mergeCell ref="AX8:AZ9"/>
    <mergeCell ref="N9:O9"/>
    <mergeCell ref="T9:U9"/>
    <mergeCell ref="Y9:Z9"/>
    <mergeCell ref="AE9:AF9"/>
    <mergeCell ref="AJ9:AK9"/>
    <mergeCell ref="AP9:AQ9"/>
    <mergeCell ref="AU9:AV9"/>
    <mergeCell ref="AU1:AV1"/>
    <mergeCell ref="AX1:AX2"/>
    <mergeCell ref="AY1:AZ1"/>
    <mergeCell ref="BA1:BB1"/>
    <mergeCell ref="L8:M9"/>
    <mergeCell ref="Q8:S9"/>
    <mergeCell ref="W8:X9"/>
    <mergeCell ref="AB8:AD9"/>
    <mergeCell ref="AH8:AI9"/>
    <mergeCell ref="AM8:AO9"/>
    <mergeCell ref="AJ1:AK1"/>
    <mergeCell ref="AM1:AM2"/>
    <mergeCell ref="AN1:AO1"/>
    <mergeCell ref="AP1:AQ1"/>
    <mergeCell ref="AS1:AS2"/>
    <mergeCell ref="AT1:AT2"/>
    <mergeCell ref="AI1:AI2"/>
    <mergeCell ref="N1:O1"/>
    <mergeCell ref="Q1:Q2"/>
    <mergeCell ref="R1:S1"/>
    <mergeCell ref="T1:U1"/>
    <mergeCell ref="W1:W2"/>
    <mergeCell ref="X1:X2"/>
    <mergeCell ref="Y1:Z1"/>
    <mergeCell ref="AB1:AB2"/>
    <mergeCell ref="AC1:AD1"/>
    <mergeCell ref="AE1:AF1"/>
    <mergeCell ref="AH1:AH2"/>
    <mergeCell ref="A8:B9"/>
    <mergeCell ref="F8:H9"/>
    <mergeCell ref="C9:D9"/>
    <mergeCell ref="I9:J9"/>
    <mergeCell ref="L1:L2"/>
    <mergeCell ref="M1:M2"/>
    <mergeCell ref="A1:A2"/>
    <mergeCell ref="B1:B2"/>
    <mergeCell ref="C1:D1"/>
    <mergeCell ref="F1:F2"/>
    <mergeCell ref="G1:H1"/>
    <mergeCell ref="I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Produktivitas</vt:lpstr>
      <vt:lpstr>Fuel Burn</vt:lpstr>
      <vt:lpstr>Fuel Ratio</vt:lpstr>
      <vt:lpstr>Grade</vt:lpstr>
      <vt:lpstr>Parameter</vt:lpstr>
      <vt:lpstr>Kecepatan</vt:lpstr>
      <vt:lpstr>Regresi HT416</vt:lpstr>
      <vt:lpstr>Regresi HT419</vt:lpstr>
      <vt:lpstr>Regresi HT420</vt:lpstr>
      <vt:lpstr>Regresi HT421</vt:lpstr>
      <vt:lpstr>Regresi HT424</vt:lpstr>
      <vt:lpstr>Regresi HT425</vt:lpstr>
      <vt:lpstr>Regresi HT426</vt:lpstr>
      <vt:lpstr>Regresi HT427</vt:lpstr>
      <vt:lpstr>Regresi HT429</vt:lpstr>
      <vt:lpstr>Regresi HT431</vt:lpstr>
      <vt:lpstr>Regresi HT432</vt:lpstr>
      <vt:lpstr>Regresi HT433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2025-03-03T07:56:50Z</dcterms:created>
  <dcterms:modified xsi:type="dcterms:W3CDTF">2025-07-08T01:43:31Z</dcterms:modified>
</cp:coreProperties>
</file>